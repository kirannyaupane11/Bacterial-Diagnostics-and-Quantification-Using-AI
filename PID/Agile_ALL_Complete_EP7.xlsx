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kirannyaupane/Desktop/PID/"/>
    </mc:Choice>
  </mc:AlternateContent>
  <xr:revisionPtr revIDLastSave="0" documentId="13_ncr:1_{4299C818-CA58-EE4D-A93F-0524BCB06A7D}" xr6:coauthVersionLast="47" xr6:coauthVersionMax="47" xr10:uidLastSave="{00000000-0000-0000-0000-000000000000}"/>
  <bookViews>
    <workbookView xWindow="0" yWindow="660" windowWidth="29400" windowHeight="17060" activeTab="7" xr2:uid="{00000000-000D-0000-FFFF-FFFF00000000}"/>
  </bookViews>
  <sheets>
    <sheet name="Product Backlog" sheetId="1" r:id="rId1"/>
    <sheet name="RACI CHART" sheetId="12" r:id="rId2"/>
    <sheet name="Sprint Backlog" sheetId="10" r:id="rId3"/>
    <sheet name="Sprint Plan" sheetId="2" r:id="rId4"/>
    <sheet name="Project Plan" sheetId="11" r:id="rId5"/>
    <sheet name="Cost Estimation" sheetId="4" r:id="rId6"/>
    <sheet name="Sprint Retrospective" sheetId="5" r:id="rId7"/>
    <sheet name="ROAM Analysis" sheetId="6" r:id="rId8"/>
    <sheet name="Research &amp; Design Plan" sheetId="7" r:id="rId9"/>
    <sheet name="Communication Plan" sheetId="8" r:id="rId10"/>
    <sheet name="Risk Management" sheetId="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4" l="1"/>
  <c r="D24" i="4"/>
  <c r="D21" i="4"/>
  <c r="E30" i="1"/>
  <c r="D26" i="4" l="1"/>
  <c r="B12" i="4"/>
  <c r="B8" i="4"/>
  <c r="B10" i="4"/>
  <c r="B13" i="4"/>
</calcChain>
</file>

<file path=xl/sharedStrings.xml><?xml version="1.0" encoding="utf-8"?>
<sst xmlns="http://schemas.openxmlformats.org/spreadsheetml/2006/main" count="1099" uniqueCount="673">
  <si>
    <t>PRODUCT BACKLOG  |  Bacteria AI Detection &amp; Quantification  |  EP7 Group</t>
  </si>
  <si>
    <t>Module: COS6032-E  |  Team: Kiran · Bandika · Jenish  |  Supervisor: Dr Kulvinder Panesar  |  Client: Dr Maria Katsikogianni</t>
  </si>
  <si>
    <t>ID</t>
  </si>
  <si>
    <t>User Story</t>
  </si>
  <si>
    <t>Acceptance Criteria</t>
  </si>
  <si>
    <t>Priority</t>
  </si>
  <si>
    <t>Story Points</t>
  </si>
  <si>
    <t>Assigned To</t>
  </si>
  <si>
    <t>Sprint</t>
  </si>
  <si>
    <t>PB-01</t>
  </si>
  <si>
    <t>As a team, we want a structured GitHub repository so that all project files are organised and version controlled.</t>
  </si>
  <si>
    <t>Repo created with folders: data, preprocessing, model, results, documentation</t>
  </si>
  <si>
    <t>Must Have</t>
  </si>
  <si>
    <t>Kiran</t>
  </si>
  <si>
    <t>Sprint 0</t>
  </si>
  <si>
    <t>PB-02</t>
  </si>
  <si>
    <t>As a team, we want clearly assigned roles so that responsibilities are clear and work is not duplicated.</t>
  </si>
  <si>
    <t>Roles documented in PID: Kiran (PM/Model), Bandika (Data), Jenish (Evaluation)</t>
  </si>
  <si>
    <t>All Members</t>
  </si>
  <si>
    <t>PB-03</t>
  </si>
  <si>
    <t>As a team, we want to meet the client to confirm objectives and success criteria.</t>
  </si>
  <si>
    <t>Client goals documented and agreed; Dice ≥ 0.80 confirmed as success criterion</t>
  </si>
  <si>
    <t>Sprint 1</t>
  </si>
  <si>
    <t>PB-04</t>
  </si>
  <si>
    <t>As a researcher, I want access to the fluorescent microscopy dataset so that I can begin analysis.</t>
  </si>
  <si>
    <t>DeepBacs dataset received and stored on shared Google Drive in /raw/ folder</t>
  </si>
  <si>
    <t>Bandika</t>
  </si>
  <si>
    <t>PB-05</t>
  </si>
  <si>
    <t>As a developer, I want to visually inspect the images to understand noise, brightness, and fluorescence patterns.</t>
  </si>
  <si>
    <t>Initial visual analysis completed; brightness range and noise patterns documented</t>
  </si>
  <si>
    <t>PB-06</t>
  </si>
  <si>
    <t>As a student, I want to review research papers on U-Net and bacterial imaging to justify our approach.</t>
  </si>
  <si>
    <t>Literature review completed; ≥5 papers reviewed; U-Net justified as architecture</t>
  </si>
  <si>
    <t>Jenish</t>
  </si>
  <si>
    <t>Sprint 2</t>
  </si>
  <si>
    <t>PB-07</t>
  </si>
  <si>
    <t>As a developer, I want to understand encoder-decoder and skip connections in U-Net before implementation.</t>
  </si>
  <si>
    <t>Architecture diagram produced; encoder, bottleneck, decoder components understood</t>
  </si>
  <si>
    <t>PB-08</t>
  </si>
  <si>
    <t>As a researcher, I want to study Dice Score, IoU, Precision, and Recall to properly evaluate the model.</t>
  </si>
  <si>
    <t>Metrics defined and formulas documented; acceptable thresholds agreed with supervisor</t>
  </si>
  <si>
    <t>PB-09</t>
  </si>
  <si>
    <t>As a developer, I want to remove poor-quality or corrupted images to improve model performance.</t>
  </si>
  <si>
    <t>5-point cleaning pipeline run; zero corrupt/missing/empty files confirmed</t>
  </si>
  <si>
    <t>Sprint 3</t>
  </si>
  <si>
    <t>PB-10</t>
  </si>
  <si>
    <t>As a developer, I want to normalise, resize, and augment images so they are suitable for training.</t>
  </si>
  <si>
    <t>All images resized to 256×256; normalised to [0,1]; masks binarised to {0,1}</t>
  </si>
  <si>
    <t>PB-11</t>
  </si>
  <si>
    <t>As a developer, I want to apply horizontal and vertical flipping to expand the training dataset artificially.</t>
  </si>
  <si>
    <t>28 original samples augmented to 84; 80/20 train/val split confirmed: 67/17</t>
  </si>
  <si>
    <t>PB-12</t>
  </si>
  <si>
    <t>As a developer, I want to design the U-Net architecture tailored to the dataset.</t>
  </si>
  <si>
    <t>Architecture designed: 4 encoder blocks, bottleneck, 4 decoder blocks, skip connections</t>
  </si>
  <si>
    <t>PB-13</t>
  </si>
  <si>
    <t>As a developer, I want to code the U-Net model using TensorFlow/Keras.</t>
  </si>
  <si>
    <t>Model implemented; total parameters 1,940,817; model.summary() reviewed</t>
  </si>
  <si>
    <t>PB-14</t>
  </si>
  <si>
    <t>As a developer, I want to configure Dice+BCE combined loss and Adam optimiser.</t>
  </si>
  <si>
    <t>Loss function compiled; lr=1e-4; metrics: dice_coefficient, accuracy</t>
  </si>
  <si>
    <t>PB-15</t>
  </si>
  <si>
    <t>As a developer, I want to train the U-Net model on the dataset to learn bacterial features.</t>
  </si>
  <si>
    <t>Model trained for 150 epochs (early stopped at 110); best val Dice = 0.8235 at epoch 90</t>
  </si>
  <si>
    <t>Sprint 4</t>
  </si>
  <si>
    <t>PB-16</t>
  </si>
  <si>
    <t>As a developer, I want to configure ModelCheckpoint, EarlyStopping, and ReduceLROnPlateau callbacks.</t>
  </si>
  <si>
    <t>All callbacks active; best_model.h5 saved to Drive; LR reduced at epochs 79, 93, 103</t>
  </si>
  <si>
    <t>PB-17</t>
  </si>
  <si>
    <t>As a researcher, I want to calculate Dice, IoU, Precision, and Recall on test data.</t>
  </si>
  <si>
    <t>Dice=79.6%, IoU=66.2%, Precision=76.9%, Recall=83.3% computed on 5 test images</t>
  </si>
  <si>
    <t>PB-18</t>
  </si>
  <si>
    <t>As a researcher, I want training and validation curves plotted to confirm healthy learning.</t>
  </si>
  <si>
    <t>Dice and Loss curves saved as PNG; no significant overfitting observed</t>
  </si>
  <si>
    <t>PB-19</t>
  </si>
  <si>
    <t>As a client, I want a numerical bacterial count from each image.</t>
  </si>
  <si>
    <t>Basic connected-components counting implemented; count displayed per image</t>
  </si>
  <si>
    <t>PB-20</t>
  </si>
  <si>
    <t>As a client, I want improved counting that separates touching bacteria.</t>
  </si>
  <si>
    <t>Watershed algorithm implemented; total error reduced from 64 to 14 (78% improvement)</t>
  </si>
  <si>
    <t>PB-21</t>
  </si>
  <si>
    <t>As a team, we want an end-to-end pipeline from image input to segmentation output.</t>
  </si>
  <si>
    <t>Full inference pipeline working: upload → preprocess → predict → count → display</t>
  </si>
  <si>
    <t>PB-22</t>
  </si>
  <si>
    <t>As a client, I want an interactive dashboard to upload images and view results.</t>
  </si>
  <si>
    <t>Streamlit app (app.py, 525 lines) deployed; image upload, mask display, metrics shown</t>
  </si>
  <si>
    <t>Sprint 5</t>
  </si>
  <si>
    <t>PB-23</t>
  </si>
  <si>
    <t>As a client, I want to export results as JSON, CSV, and PNG report.</t>
  </si>
  <si>
    <t>All four export buttons working: JSON, CSV, Report PNG, Mask PNG</t>
  </si>
  <si>
    <t>Should Have</t>
  </si>
  <si>
    <t>PB-24</t>
  </si>
  <si>
    <t>As a client, I want the dashboard accessible via a public URL for the exhibition.</t>
  </si>
  <si>
    <t>Live URL generated via localtunnel; accessible on any device on exhibition day</t>
  </si>
  <si>
    <t>PB-25</t>
  </si>
  <si>
    <t>As a team, we want a professional exhibition poster designed and printed.</t>
  </si>
  <si>
    <t>A1 poster designed covering CDIO phases, results, team info; printed before 17 April</t>
  </si>
  <si>
    <t>PB-26</t>
  </si>
  <si>
    <t>As a student, I need to submit the individual Element 2 completion report.</t>
  </si>
  <si>
    <t>3000-word report submitted to Canvas by 27 April 2026; FAIR report included</t>
  </si>
  <si>
    <t>TOTAL STORY POINTS</t>
  </si>
  <si>
    <t>SPRINT PLAN  |  Bacteria AI Detection &amp; Quantification  |  EP7 Group  |  COS6032-E</t>
  </si>
  <si>
    <t>Sprint 0  —  Project Initiation &amp; Setup  |  Sep – 12 Oct 2025</t>
  </si>
  <si>
    <t>Sprint Goal:  Establish team structure, tools, and communication channels before formal project start.</t>
  </si>
  <si>
    <t>Backlog ID</t>
  </si>
  <si>
    <t>Task</t>
  </si>
  <si>
    <t>Owner</t>
  </si>
  <si>
    <t>Points</t>
  </si>
  <si>
    <t>Status</t>
  </si>
  <si>
    <t>Sprint Total Story Points</t>
  </si>
  <si>
    <t>Create GitHub repository</t>
  </si>
  <si>
    <t>Done</t>
  </si>
  <si>
    <t>Define and document team roles</t>
  </si>
  <si>
    <t>Sprint Outcome:  GitHub repository created with structured folders; team roles defined and documented in PID.</t>
  </si>
  <si>
    <t>Sprint 1  —  Client Alignment &amp; Data Acquisition  |  13 Oct – 9 Nov 2025</t>
  </si>
  <si>
    <t>Sprint Goal:  Meet client, confirm objectives, obtain the DeepBacs dataset, and perform initial exploration.</t>
  </si>
  <si>
    <t>Client kick-off meeting — confirm scope and success criteria</t>
  </si>
  <si>
    <t>Receive DeepBacs fluorescence microscopy dataset</t>
  </si>
  <si>
    <t>Initial data inspection and visual analysis</t>
  </si>
  <si>
    <t>Sprint Outcome:  Client meeting completed; dataset obtained; 28 train + 5 test image-mask pairs confirmed.</t>
  </si>
  <si>
    <t>Sprint 2  —  Background Research &amp; Architecture Selection  |  10 Nov – 7 Dec 2025</t>
  </si>
  <si>
    <t>Sprint Goal:  Complete literature review, justify U-Net selection, and define evaluation metrics.</t>
  </si>
  <si>
    <t>Literature review: U-Net, bacterial imaging, segmentation</t>
  </si>
  <si>
    <t>Study U-Net encoder-decoder and skip connections</t>
  </si>
  <si>
    <t>Define and document evaluation metrics (Dice, IoU, Precision, Recall)</t>
  </si>
  <si>
    <t>Sprint Outcome:  Literature review completed; U-Net selected and justified; Dice ≥ 0.80 agreed as success criterion.</t>
  </si>
  <si>
    <t>Sprint 3  —  Data Engineering &amp; Model Development  |  8 Dec 2025 – 9 Jan 2026</t>
  </si>
  <si>
    <t>Sprint Goal:  Clean, preprocess, and augment the dataset; design and implement the U-Net model architecture.</t>
  </si>
  <si>
    <t>5-point data cleaning pipeline</t>
  </si>
  <si>
    <t>Image normalisation, resize to 256×256, mask binarisation</t>
  </si>
  <si>
    <t>Data augmentation: horizontal + vertical flip (28 → 84 samples)</t>
  </si>
  <si>
    <t>U-Net architecture design: encoder, bottleneck, decoder, skip connections</t>
  </si>
  <si>
    <t>U-Net implementation in TensorFlow/Keras (1,940,817 parameters)</t>
  </si>
  <si>
    <t>Configure Dice+BCE loss function and Adam optimiser</t>
  </si>
  <si>
    <t>Sprint Outcome:  All preprocessing complete; 67 train/17 val split confirmed; U-Net built and compiled. Element 1 report submitted 9 Jan 2026.</t>
  </si>
  <si>
    <t>Sprint 4  —  Model Training &amp; Evaluation  |  10 Jan – 28 Feb 2026</t>
  </si>
  <si>
    <t>Sprint Goal:  Train the U-Net model, evaluate performance on unseen test data, and implement improved bacteria counting.</t>
  </si>
  <si>
    <t>Train U-Net: 150 epochs, EarlyStopping, ModelCheckpoint, ReduceLROnPlateau</t>
  </si>
  <si>
    <t>Configure training callbacks (early stop at epoch 110, best at epoch 90)</t>
  </si>
  <si>
    <t>Compute Dice, IoU, Precision, Recall on 5 test images</t>
  </si>
  <si>
    <t>Plot training/validation Dice and Loss curves</t>
  </si>
  <si>
    <t>Basic connected-components bacteria counting</t>
  </si>
  <si>
    <t>Watershed algorithm counting (78% error reduction: 64 → 14)</t>
  </si>
  <si>
    <t>End-to-end inference pipeline: upload → predict → count → display</t>
  </si>
  <si>
    <t>Sprint Outcome:  Best val Dice = 0.8235 (epoch 90). Test metrics: Dice 79.6%, IoU 66.2%, Precision 76.9%, Recall 83.3%. Watershed total error = 14.</t>
  </si>
  <si>
    <t>Sprint 5  —  Dashboard, Exhibition &amp; Submission  |  1 Mar – 27 Apr 2026</t>
  </si>
  <si>
    <t>Sprint Goal:  Build and deploy the Streamlit dashboard, prepare and deliver the exhibition, and submit all final reports.</t>
  </si>
  <si>
    <t>Build Streamlit dashboard: upload, inference, visualisation, metrics</t>
  </si>
  <si>
    <t>Add export features: JSON, CSV, Report PNG, Mask PNG</t>
  </si>
  <si>
    <t>Deploy dashboard via localtunnel for live exhibition URL</t>
  </si>
  <si>
    <t>Design and print A1 exhibition poster</t>
  </si>
  <si>
    <t>Submit individual Element 2 completion reports to Canvas</t>
  </si>
  <si>
    <t>In Progress</t>
  </si>
  <si>
    <t>Sprint Outcome:  Streamlit dashboard live at bacteriaai.loca.lt; poster presented 21 April; group demo completed. Individual reports due 27 April.</t>
  </si>
  <si>
    <t>Phase</t>
  </si>
  <si>
    <t>W1</t>
  </si>
  <si>
    <t>W2</t>
  </si>
  <si>
    <t>W3</t>
  </si>
  <si>
    <t>W4</t>
  </si>
  <si>
    <t>Phase 1: Foundational Research &amp; Design</t>
  </si>
  <si>
    <t>Phase 2: Data Engineering &amp; Preparation</t>
  </si>
  <si>
    <t>Model Training</t>
  </si>
  <si>
    <t>Phase 4: Evaluation, Validation &amp; Deployment</t>
  </si>
  <si>
    <t>COST ESTIMATION  |  Bacteria AI Detection &amp; Quantification  |  EP7 Group  |  COS6032-E</t>
  </si>
  <si>
    <t>Based on industry-standard FTE costing methodology  |  Project Duration: 7 months (Oct 2025 – Apr 2026)</t>
  </si>
  <si>
    <t>SECTION 1 — LABOUR COST CALCULATION</t>
  </si>
  <si>
    <t>Parameter</t>
  </si>
  <si>
    <t>Value</t>
  </si>
  <si>
    <t>Notes</t>
  </si>
  <si>
    <t>Number of Team Members</t>
  </si>
  <si>
    <t>Kiran, Bandika, Jenish</t>
  </si>
  <si>
    <t>FTE per Member</t>
  </si>
  <si>
    <t>Each member works 60% of a full-time equivalent</t>
  </si>
  <si>
    <t>Total FTE (= Members × FTE)</t>
  </si>
  <si>
    <t>1.8 FTE total</t>
  </si>
  <si>
    <t>Annual Salary per FTE (£)</t>
  </si>
  <si>
    <t>Industry junior AI developer rate</t>
  </si>
  <si>
    <t>Total Labour Yearly Cost (TLYC) (£)</t>
  </si>
  <si>
    <t>1.8 × £30,000 = £54,000</t>
  </si>
  <si>
    <t>Project Duration (months)</t>
  </si>
  <si>
    <t>October 2025 to April 2026 inclusive</t>
  </si>
  <si>
    <t>Duration as Fraction of Year</t>
  </si>
  <si>
    <t>7/12 ≈ 0.5833</t>
  </si>
  <si>
    <t>Total Labour Cost (7 months) (£)</t>
  </si>
  <si>
    <t>£54,000 × (7/12) ≈ £31,500</t>
  </si>
  <si>
    <t>SECTION 2 — ADDITIONAL PROJECT COSTS</t>
  </si>
  <si>
    <t>#</t>
  </si>
  <si>
    <t>Cost Category</t>
  </si>
  <si>
    <t>Description</t>
  </si>
  <si>
    <t>Amount (£)</t>
  </si>
  <si>
    <t>Justification</t>
  </si>
  <si>
    <t>Dataset Acquisition</t>
  </si>
  <si>
    <t>DeepBacs fluorescence microscopy dataset (S. aureus)</t>
  </si>
  <si>
    <t>Provided by client / licensed research dataset</t>
  </si>
  <si>
    <t>Cloud / GPU Computing</t>
  </si>
  <si>
    <t>Google Colab Pro or equivalent cloud GPU for model training</t>
  </si>
  <si>
    <t>Required for training U-Net in reasonable time</t>
  </si>
  <si>
    <t>Software Tools &amp; Licenses</t>
  </si>
  <si>
    <t>Python libraries, TensorFlow, OpenCV, Streamlit (all open-source)</t>
  </si>
  <si>
    <t>Minimal cost — open-source stack</t>
  </si>
  <si>
    <t>Miscellaneous</t>
  </si>
  <si>
    <t>Poster printing (A1 colour), stationery, minor equipment</t>
  </si>
  <si>
    <t>Exhibition poster + admin costs</t>
  </si>
  <si>
    <t>Subtotal — Additional Costs</t>
  </si>
  <si>
    <t>SECTION 3 — FINAL BUDGET SUMMARY</t>
  </si>
  <si>
    <t>Labour Cost (7 months)</t>
  </si>
  <si>
    <t>Additional Costs Subtotal</t>
  </si>
  <si>
    <t>TOTAL ESTIMATED PROJECT BUDGET</t>
  </si>
  <si>
    <t>Budget Statement (for PID):  The total labour yearly cost (TLYC) for three team members working at 0.6 FTE each was calculated as £54,000. Considering a project duration of seven months (7/12 of a year), the labour cost was estimated at approximately £31,500. Additional costs, including dataset acquisition (£3,000), cloud computing (£100), software tools (£60), and miscellaneous expenses (£200), resulted in a total estimated project budget of £34,860. This estimation reflects a realistic industry-level costing approach.</t>
  </si>
  <si>
    <t>SPRINT RETROSPECTIVE  |  EP7 Group  |  COS6032-E</t>
  </si>
  <si>
    <t>What Went Well</t>
  </si>
  <si>
    <t xml:space="preserve">  •  Dataset was successfully cleaned and organised with zero corrupt or missing files</t>
  </si>
  <si>
    <t xml:space="preserve">  •  Preprocessing pipeline improved image quality significantly</t>
  </si>
  <si>
    <t xml:space="preserve">  •  U-Net architecture was successfully designed and implemented (1.94M parameters)</t>
  </si>
  <si>
    <t xml:space="preserve">  •  Best validation Dice coefficient of 0.8235 achieved at epoch 90</t>
  </si>
  <si>
    <t xml:space="preserve">  •  Watershed algorithm reduced counting error by 78% (from 64 to 14 total errors)</t>
  </si>
  <si>
    <t xml:space="preserve">  •  Streamlit dashboard deployed with full export functionality</t>
  </si>
  <si>
    <t xml:space="preserve">  •  Team communication and collaboration were effective throughout</t>
  </si>
  <si>
    <t xml:space="preserve">  •  All sprint goals and key milestones were met on time</t>
  </si>
  <si>
    <t>What Didn't Go Well</t>
  </si>
  <si>
    <t xml:space="preserve">  •  Preprocessing took longer than expected due to varied image quality</t>
  </si>
  <si>
    <t xml:space="preserve">  •  Some microscopy images remained noisy even after filtering</t>
  </si>
  <si>
    <t xml:space="preserve">  •  U-Net implementation required significantly more time than initially planned</t>
  </si>
  <si>
    <t xml:space="preserve">  •  Google Colab session timeouts disrupted training runs</t>
  </si>
  <si>
    <t xml:space="preserve">  •  Localtunnel configuration required multiple attempts to get working</t>
  </si>
  <si>
    <t xml:space="preserve">  •  The dataset size (28 images) was smaller than ideal for deep learning</t>
  </si>
  <si>
    <t>What We Learned</t>
  </si>
  <si>
    <t xml:space="preserve">  •  Data quality is critical — time invested in preprocessing directly improves model performance</t>
  </si>
  <si>
    <t xml:space="preserve">  •  U-Net is powerful but requires careful architectural decisions and tuning</t>
  </si>
  <si>
    <t xml:space="preserve">  •  Saving model checkpoints to Drive after every improvement is essential to prevent data loss</t>
  </si>
  <si>
    <t xml:space="preserve">  •  Watershed algorithm should be planned from the start of any cell counting project</t>
  </si>
  <si>
    <t xml:space="preserve">  •  Agile sprint planning with clear Definition of Done criteria reduces ambiguity</t>
  </si>
  <si>
    <t xml:space="preserve">  •  Early testing of deployment tools (localtunnel/ngrok) before exhibition day is crucial</t>
  </si>
  <si>
    <t>What We Will Improve (Future Work)</t>
  </si>
  <si>
    <t xml:space="preserve">  •  Expand training dataset with images from multiple laboratories for better generalisation</t>
  </si>
  <si>
    <t xml:space="preserve">  •  Extend model to classify multiple bacterial species (multi-class segmentation)</t>
  </si>
  <si>
    <t xml:space="preserve">  •  Conduct prospective clinical validation in a hospital microbiology laboratory</t>
  </si>
  <si>
    <t xml:space="preserve">  •  Optimise model for edge deployment using quantisation or knowledge distillation</t>
  </si>
  <si>
    <t xml:space="preserve">  •  Integrate dashboard with laboratory information systems (LIS) for clinical workflow</t>
  </si>
  <si>
    <t xml:space="preserve">  •  Implement real-time video microscopy analysis capability</t>
  </si>
  <si>
    <t>ROAM ANALYSIS  |  Risk, Opportunity, Actions &amp; Mitigations  |  EP7 Group  |  COS6032-E</t>
  </si>
  <si>
    <t>Issue / Risk</t>
  </si>
  <si>
    <t>Actions Taken</t>
  </si>
  <si>
    <t>ROAM Status</t>
  </si>
  <si>
    <t>Resolution Date</t>
  </si>
  <si>
    <t>R-01</t>
  </si>
  <si>
    <t>Project topic and approach were unclear at the start</t>
  </si>
  <si>
    <t>Team met with the client and supervisor and finalised the project scope as 'Bacterial Diagnostics and Quantification using AI'. Objectives documented in PID.</t>
  </si>
  <si>
    <t>Resolved</t>
  </si>
  <si>
    <t>Nov 2025</t>
  </si>
  <si>
    <t>R-02</t>
  </si>
  <si>
    <t>Team needed a clear technical direction for the AI model</t>
  </si>
  <si>
    <t>Conducted background research in Sprint 2; agreed to use U-Net CNN for image segmentation. Architecture justified in literature review.</t>
  </si>
  <si>
    <t>Dec 2025</t>
  </si>
  <si>
    <t>R-03</t>
  </si>
  <si>
    <t>Fluorescent images contained noise and inconsistent quality</t>
  </si>
  <si>
    <t>Applied noise reduction, normalisation (min-max), and data augmentation pipeline. 5-point cleaning check confirmed zero corrupt files.</t>
  </si>
  <si>
    <t>Mitigated</t>
  </si>
  <si>
    <t>Jan 2026</t>
  </si>
  <si>
    <t>R-04</t>
  </si>
  <si>
    <t>Dataset size too small (28 images) for high model accuracy</t>
  </si>
  <si>
    <t>Accepted as a known limitation. Horizontal and vertical flip augmentation expanded dataset to 84 samples. Supervisor informed. Dropout regularisation applied.</t>
  </si>
  <si>
    <t>Accepted</t>
  </si>
  <si>
    <t>R-05</t>
  </si>
  <si>
    <t>Training U-Net model took long due to limited computing resources</t>
  </si>
  <si>
    <t>Used Google Colab T4 GPU. Reduced augmentation overhead. ModelCheckpoint saves best weights to Drive. EarlyStopping prevents wasted training.</t>
  </si>
  <si>
    <t>Feb 2026</t>
  </si>
  <si>
    <t>R-06</t>
  </si>
  <si>
    <t>Model performance might not meet the Dice ≥ 0.80 success criterion</t>
  </si>
  <si>
    <t>Iteratively tuned hyperparameters; used ReduceLROnPlateau. Best val Dice achieved = 0.8235 at epoch 90, exceeding the 0.80 target.</t>
  </si>
  <si>
    <t>R-07</t>
  </si>
  <si>
    <t>Basic bacteria counting inaccurate due to touching cells</t>
  </si>
  <si>
    <t>Implemented Watershed algorithm with Euclidean distance transform and peak_local_max. Total counting error reduced by 78% (64 → 14).</t>
  </si>
  <si>
    <t>Mar 2026</t>
  </si>
  <si>
    <t>R-09</t>
  </si>
  <si>
    <t>Tunnel URL unavailable or requires password on exhibition day</t>
  </si>
  <si>
    <t>Tested localtunnel before exhibition. Password retrieval cell (Cell 20) kept ready. Backup screenshots of running dashboard prepared.</t>
  </si>
  <si>
    <t>Apr 2026</t>
  </si>
  <si>
    <t>R-10</t>
  </si>
  <si>
    <t>Individual reports may be incomplete or submitted late</t>
  </si>
  <si>
    <t>Sprint 5 explicitly allocates time for report writing. Submission deadline (27 April) tracked in project plan.</t>
  </si>
  <si>
    <t>Owned</t>
  </si>
  <si>
    <t>27 Apr 2026</t>
  </si>
  <si>
    <t>RESEARCH &amp; DESIGN PLAN  |  Bacteria AI Detection &amp; Quantification  |  EP7 Group  |  COS6032-E</t>
  </si>
  <si>
    <t>R&amp;D Element</t>
  </si>
  <si>
    <t>Description &amp; Goal</t>
  </si>
  <si>
    <t>Primary Owner</t>
  </si>
  <si>
    <t>1. Identify the Problem</t>
  </si>
  <si>
    <t>Defining the clinical gap: current methods like culture-based manual microscopy are insufficient in LMICs — slow, error-prone, and skill-dependent.</t>
  </si>
  <si>
    <t>2. Background Research (Literature Review)</t>
  </si>
  <si>
    <t>Review similar projects, read published articles on U-Net, bacterial imaging, and segmentation metrics to justify architectural choices.</t>
  </si>
  <si>
    <t>3. Architecture Pre-Selection</t>
  </si>
  <si>
    <t>Researching and proposing suitable, lightweight Deep Learning architectures (U-Net) that meet the speed and size constraints of the project.</t>
  </si>
  <si>
    <t>4. Data Collection</t>
  </si>
  <si>
    <t>The physical process of obtaining raw fluorescence microscopy images of Staphylococcus aureus from the client and the DeepBacs public dataset.</t>
  </si>
  <si>
    <t>5. Data Cleaning &amp; Pre-processing</t>
  </si>
  <si>
    <t>Scripts and procedures to standardise, clean, normalise, and augment the raw images (e.g., resizing to 256×256, noise removal, normalisation to [0,1]) before entering the model.</t>
  </si>
  <si>
    <t>6. Dataset Splitting</t>
  </si>
  <si>
    <t>Dividing the clean data into three distinct, non-overlapping sets: Training (67), Validation (17), and Testing (5) using 80/20 split with random_state=42.</t>
  </si>
  <si>
    <t>Phase 3: Development &amp; Iteration (Building the Model)</t>
  </si>
  <si>
    <t>7. Model Implementation</t>
  </si>
  <si>
    <t>Writing the code for the chosen deep learning architecture (U-Net) using TensorFlow/Keras framework. Architecture: 4 encoder blocks + bottleneck + 4 decoder blocks + skip connections.</t>
  </si>
  <si>
    <t>8. Model Training</t>
  </si>
  <si>
    <t>Feeding the training data into the implemented model and using Google Colab T4 GPU to adjust the model weights over 150 epochs with early stopping.</t>
  </si>
  <si>
    <t>9. Hyperparameter Optimisation</t>
  </si>
  <si>
    <t>Systematically adjusting model settings — learning rate (1e-4), batch size (8), dropout rates — to improve performance on the validation set without over-training.</t>
  </si>
  <si>
    <t>10. Image Analysis Pipeline Integration</t>
  </si>
  <si>
    <t>Writing the code that connects the pre-processing pipeline with the model prediction and converts the output into a usable quantification report (bacteria count + segmentation mask).</t>
  </si>
  <si>
    <t>11. Internal Testing (Model Evaluation)</t>
  </si>
  <si>
    <t>Using the previously unseen Test Set (5 images) to measure the model's final performance against success metrics: Dice=79.6%, IoU=66.2%, Precision=76.9%, Recall=83.3%.</t>
  </si>
  <si>
    <t>12. User Interface (UI) Design &amp; Prototyping</t>
  </si>
  <si>
    <t>Designing the Streamlit dashboard and workflow that the clinician or technician will use to interact with the final tool — upload image, view segmentation, read bacteria count.</t>
  </si>
  <si>
    <t>13. External/Clinical Validation</t>
  </si>
  <si>
    <t>Testing the model on data collected from entirely different sources (different microscopes, different labs) to prove generalisability. Noted as future work given project scope.</t>
  </si>
  <si>
    <t>14. Documentation &amp; Reporting</t>
  </si>
  <si>
    <t>Documenting the code, model performance, architecture choice, and the full R&amp;D process for the final project report, poster, and GitHub repository README.</t>
  </si>
  <si>
    <t>Type of Communication</t>
  </si>
  <si>
    <t>Frequency</t>
  </si>
  <si>
    <t>Sender/Owner</t>
  </si>
  <si>
    <t>Key Dates/Schedule</t>
  </si>
  <si>
    <t>Delivery Method</t>
  </si>
  <si>
    <t>Goals</t>
  </si>
  <si>
    <t>High</t>
  </si>
  <si>
    <t>Pre-Kickoff Research Synthesis</t>
  </si>
  <si>
    <t>One Time</t>
  </si>
  <si>
    <t>Shared Document (Google Drive)</t>
  </si>
  <si>
    <t>Project Kick-off Meeting</t>
  </si>
  <si>
    <t>Client &amp; All Members</t>
  </si>
  <si>
    <t>Weekly Deep Dive Meeting</t>
  </si>
  <si>
    <t>Weekly</t>
  </si>
  <si>
    <t>Medium</t>
  </si>
  <si>
    <t>Physical Meeting</t>
  </si>
  <si>
    <t>Progress Update</t>
  </si>
  <si>
    <t>Bi-Weekly</t>
  </si>
  <si>
    <t>Provide high-level progress on planning and resource management. Manage expectations.</t>
  </si>
  <si>
    <t>Documentation &amp; File Updates</t>
  </si>
  <si>
    <t>As needed (daily/weekly)</t>
  </si>
  <si>
    <t>Low</t>
  </si>
  <si>
    <t>After completing a major task</t>
  </si>
  <si>
    <t>Shared Cloud Folder (Google Drive)</t>
  </si>
  <si>
    <t>Technical Check-in (Deep Dive)</t>
  </si>
  <si>
    <t>Monthly</t>
  </si>
  <si>
    <t>Video Conferencing</t>
  </si>
  <si>
    <t>RISK MANAGEMENT REGISTER  |  Bacteria AI Detection &amp; Quantification  |  EP7 Group  |  COS6032-E</t>
  </si>
  <si>
    <t>Risk Type</t>
  </si>
  <si>
    <t>Scenario</t>
  </si>
  <si>
    <t>Risk to Project</t>
  </si>
  <si>
    <t>Mitigation Plan</t>
  </si>
  <si>
    <t>Schedule (Falling Behind)</t>
  </si>
  <si>
    <t>High (Operational Impact)</t>
  </si>
  <si>
    <t>Medium (Operational Impact)</t>
  </si>
  <si>
    <t>Budget (Overspend)</t>
  </si>
  <si>
    <t>Medium (Financial Impact)</t>
  </si>
  <si>
    <t>Avoid the risk by performing a skills gap analysis and leveraging existing university or institutional resources before considering external hires.</t>
  </si>
  <si>
    <t>Technical Lead (Jenish)</t>
  </si>
  <si>
    <t>Technical (Operational)</t>
  </si>
  <si>
    <t>Project Manager (Kiran)</t>
  </si>
  <si>
    <t>Control the risk by interviewing the client early to understand their existing workflow. Ensure the final output format is simple and compatible with their current reporting system.</t>
  </si>
  <si>
    <t>Client Liaison (Jenish)</t>
  </si>
  <si>
    <t>Project Failure (Operational)</t>
  </si>
  <si>
    <t>Sprint Backlog</t>
  </si>
  <si>
    <t>Epic</t>
  </si>
  <si>
    <t>User Story Title</t>
  </si>
  <si>
    <t>Story</t>
  </si>
  <si>
    <t>Story 
Points</t>
  </si>
  <si>
    <t>Project Setup</t>
  </si>
  <si>
    <t>Create project repository</t>
  </si>
  <si>
    <t>Define team roles</t>
  </si>
  <si>
    <t>Data Management</t>
  </si>
  <si>
    <t>Receive dataset</t>
  </si>
  <si>
    <t>Organise dataset</t>
  </si>
  <si>
    <t>Understanding Data</t>
  </si>
  <si>
    <t>Initial data inspection</t>
  </si>
  <si>
    <t>Client Alignment</t>
  </si>
  <si>
    <t>Define project goals</t>
  </si>
  <si>
    <t>Research</t>
  </si>
  <si>
    <t>Literature review</t>
  </si>
  <si>
    <t>Study U-Net architecture</t>
  </si>
  <si>
    <t>Investigate evaluation metrics</t>
  </si>
  <si>
    <t>Data Processing</t>
  </si>
  <si>
    <t>Clean dataset</t>
  </si>
  <si>
    <t>Image preprocessing</t>
  </si>
  <si>
    <t>As a developer, I want to normalize and denoise images so that they are suitable
 for training.</t>
  </si>
  <si>
    <t>Model Development</t>
  </si>
  <si>
    <t>Design U-Net model</t>
  </si>
  <si>
    <t>As a developer, I want to design the U-Net architecture tailored to our dataset.</t>
  </si>
  <si>
    <t>Implement U-Net in Python</t>
  </si>
  <si>
    <t>As a developer, I want to code the U-Net model using TensorFlow or PyTorch.</t>
  </si>
  <si>
    <t>Split dataset</t>
  </si>
  <si>
    <t>As a developer, I want to split data into train/validation/test sets to avoid bias.</t>
  </si>
  <si>
    <t>Testing</t>
  </si>
  <si>
    <t>Train U-Net model</t>
  </si>
  <si>
    <t>Tune hyperparameters</t>
  </si>
  <si>
    <t>As a developer, I want to adjust learning rate, batch size, and epochs to improve performance.</t>
  </si>
  <si>
    <t>Evaluation</t>
  </si>
  <si>
    <t>Evaluate model performance</t>
  </si>
  <si>
    <t>As a researcher, I want to calculate Dice Score and IoU to measure segmentation quality.</t>
  </si>
  <si>
    <t>Results</t>
  </si>
  <si>
    <t>Generate segmentation outputs</t>
  </si>
  <si>
    <t>As a user, I want to see segmented images showing detected bacteria.</t>
  </si>
  <si>
    <t>Bacterial quantification</t>
  </si>
  <si>
    <t>Deployment</t>
  </si>
  <si>
    <t>Build prototype pipeline</t>
  </si>
  <si>
    <t>As a team, we want an end-to-end system from image input to output.</t>
  </si>
  <si>
    <t>R-11</t>
  </si>
  <si>
    <t>S.N</t>
  </si>
  <si>
    <t>As a developer, I want to receive the fluorescent microscopic dataset so that I can begin analysis and modelling.</t>
  </si>
  <si>
    <t>As a developer, I want the dataset stored in structured folders (raw, processed, labels) so that it is easy to use.</t>
  </si>
  <si>
    <t>As a researcher, I want to visually inspect the images to understand noise, brightness, and fluorescence patterns.</t>
  </si>
  <si>
    <t>As a researcher, I want to study Dice Score and IoU so that I can properly evaluate the model.</t>
  </si>
  <si>
    <t xml:space="preserve">         4.1. Prepare exhibition poster, speaking points and backup demo</t>
  </si>
  <si>
    <t>Deployment test</t>
  </si>
  <si>
    <t>All members</t>
  </si>
  <si>
    <t xml:space="preserve">      4. Poster and demo preparation</t>
  </si>
  <si>
    <t xml:space="preserve">         3.1. Run end-to-end testing on final pipeline</t>
  </si>
  <si>
    <t>Develop dashboard</t>
  </si>
  <si>
    <t xml:space="preserve">      3. Deployment testing</t>
  </si>
  <si>
    <t xml:space="preserve">         2.1. Create Streamlit demo/ dashboard</t>
  </si>
  <si>
    <t xml:space="preserve">Member 2 </t>
  </si>
  <si>
    <t xml:space="preserve">      2. Dashboard development </t>
  </si>
  <si>
    <t xml:space="preserve">         1.1. Combine model, counting and outputs into one workflow</t>
  </si>
  <si>
    <t>Sprint Closure</t>
  </si>
  <si>
    <t xml:space="preserve">      1. System integration</t>
  </si>
  <si>
    <t>Project Deployment</t>
  </si>
  <si>
    <t xml:space="preserve">Sprint 6 </t>
  </si>
  <si>
    <t xml:space="preserve">         4.1. Sprint review, retrospective and update Github/blog</t>
  </si>
  <si>
    <t>Error analysis</t>
  </si>
  <si>
    <t xml:space="preserve">      4. Sprint closure</t>
  </si>
  <si>
    <t xml:space="preserve">         3.1. Review false positives, false negatives and limitations</t>
  </si>
  <si>
    <t>Counting evaluation</t>
  </si>
  <si>
    <t>Member 3</t>
  </si>
  <si>
    <t xml:space="preserve">      3. Error analysis </t>
  </si>
  <si>
    <t xml:space="preserve">         2.1. Test watershed counting against expected counts</t>
  </si>
  <si>
    <t>Member 1</t>
  </si>
  <si>
    <t xml:space="preserve">      2. Counting evaluation</t>
  </si>
  <si>
    <t xml:space="preserve">         1.1. Measure Dice, IoU, precision and recall</t>
  </si>
  <si>
    <t>Save best model</t>
  </si>
  <si>
    <t xml:space="preserve">      1. Segmentation evaluation</t>
  </si>
  <si>
    <t>Project Testing</t>
  </si>
  <si>
    <t xml:space="preserve">         4.2. Document model output and resu</t>
  </si>
  <si>
    <t xml:space="preserve">         4.1. Exported the best-perfoming model as an .h5 file</t>
  </si>
  <si>
    <t xml:space="preserve">      4. Save Best Model</t>
  </si>
  <si>
    <t xml:space="preserve">         3.2. Adjusted learining rates and callbacks for optimization</t>
  </si>
  <si>
    <t xml:space="preserve">         3.1. Tuned key hyperparameters such as epochs and loss function</t>
  </si>
  <si>
    <t>Training model</t>
  </si>
  <si>
    <t>Member 2</t>
  </si>
  <si>
    <t xml:space="preserve">      3. Hyperparameter tuning</t>
  </si>
  <si>
    <t xml:space="preserve">         2.2. Evaluted performance during the training process</t>
  </si>
  <si>
    <t xml:space="preserve">         2.1. Trained the model using fluorescence image data</t>
  </si>
  <si>
    <t>U-Net model</t>
  </si>
  <si>
    <t xml:space="preserve">      2. Model Training </t>
  </si>
  <si>
    <t xml:space="preserve">         1.2. Structured the model architecture for segmentation tasks</t>
  </si>
  <si>
    <t xml:space="preserve">         1.1. Implemented the U-Net model withih a nootbook enviroment</t>
  </si>
  <si>
    <t>System Design</t>
  </si>
  <si>
    <t xml:space="preserve">      1. Model Development </t>
  </si>
  <si>
    <t>Project Implementation</t>
  </si>
  <si>
    <t xml:space="preserve">         4.2. Designed a clear architecture diagram the model</t>
  </si>
  <si>
    <t xml:space="preserve">         4.1. Bulid a complete model processing pipeline</t>
  </si>
  <si>
    <t>Augmentation</t>
  </si>
  <si>
    <t xml:space="preserve">      4. System Design</t>
  </si>
  <si>
    <t xml:space="preserve">         3.2. Increased the size of the training dataset</t>
  </si>
  <si>
    <t xml:space="preserve">         3.1. Appilied flipping as a data augmentation technique</t>
  </si>
  <si>
    <t xml:space="preserve">Member 1 </t>
  </si>
  <si>
    <t xml:space="preserve">      3. Augmentation</t>
  </si>
  <si>
    <t xml:space="preserve">         2.3. Prepared and formatted masks for training</t>
  </si>
  <si>
    <t xml:space="preserve">         2.2. Resized images to a standard shape and normalized pixel values</t>
  </si>
  <si>
    <t>Clean data</t>
  </si>
  <si>
    <t xml:space="preserve">      2. Pre-processing </t>
  </si>
  <si>
    <t xml:space="preserve">         1.3. Evaluated dataset quality for reliability </t>
  </si>
  <si>
    <t xml:space="preserve">         1.2. Identified missing files</t>
  </si>
  <si>
    <t xml:space="preserve">         1.1. Checked consistency between images and masks</t>
  </si>
  <si>
    <t>Method planning</t>
  </si>
  <si>
    <t xml:space="preserve">     1. Data Cleaning</t>
  </si>
  <si>
    <t>Project Design</t>
  </si>
  <si>
    <t xml:space="preserve">        2.2. Designed a structured experiment to evaluate outcomes effectively </t>
  </si>
  <si>
    <t xml:space="preserve">        2.1. Selected appropriate metrics and tools to support the analysis</t>
  </si>
  <si>
    <t>Article reviews</t>
  </si>
  <si>
    <t xml:space="preserve">     2. Methodology Planning</t>
  </si>
  <si>
    <t xml:space="preserve">        1.2. Started researching on different models and augmentation methods</t>
  </si>
  <si>
    <t xml:space="preserve">        1.1. Reviewed articals and research papers on bacterial diagnostic</t>
  </si>
  <si>
    <t>Understanding data</t>
  </si>
  <si>
    <t xml:space="preserve">     1. Literature Review</t>
  </si>
  <si>
    <t>Project Research</t>
  </si>
  <si>
    <t xml:space="preserve">        4.1. Explore datasets structure and labels</t>
  </si>
  <si>
    <t>Data collection</t>
  </si>
  <si>
    <t xml:space="preserve">     4. Data Understanding </t>
  </si>
  <si>
    <t xml:space="preserve">        3.1. Received datasets from our client</t>
  </si>
  <si>
    <t>Prj Requirement</t>
  </si>
  <si>
    <t xml:space="preserve">     3. Data Collection</t>
  </si>
  <si>
    <t xml:space="preserve">        2.2. Talked about scope and success criteria </t>
  </si>
  <si>
    <t xml:space="preserve">        2.1. Defined aims and objectives of project</t>
  </si>
  <si>
    <t>Client Engagement</t>
  </si>
  <si>
    <t xml:space="preserve">     2. Project Requirement</t>
  </si>
  <si>
    <t xml:space="preserve">        1.1. Initial meeting with client</t>
  </si>
  <si>
    <r>
      <t xml:space="preserve">     </t>
    </r>
    <r>
      <rPr>
        <sz val="11"/>
        <color rgb="FF000000"/>
        <rFont val="Arial (Body)"/>
      </rPr>
      <t>1. Client Engagement</t>
    </r>
  </si>
  <si>
    <t>Project Planning</t>
  </si>
  <si>
    <t xml:space="preserve">        3.1. Set uo Github, folders and communication tools</t>
  </si>
  <si>
    <t>Project selection</t>
  </si>
  <si>
    <t xml:space="preserve">     3. Project Setup</t>
  </si>
  <si>
    <t xml:space="preserve">        2.2. Assigned role to each members </t>
  </si>
  <si>
    <t xml:space="preserve">        2.1. Selected Project - Bacterial Diagnostics and Quantification Using AI</t>
  </si>
  <si>
    <t xml:space="preserve">     2. Project Selection </t>
  </si>
  <si>
    <r>
      <t xml:space="preserve">  </t>
    </r>
    <r>
      <rPr>
        <sz val="11"/>
        <color rgb="FF000000"/>
        <rFont val="Arial (Body)"/>
      </rPr>
      <t xml:space="preserve">     1.1. Created team contract</t>
    </r>
  </si>
  <si>
    <t xml:space="preserve">    1. Team Setup</t>
  </si>
  <si>
    <t>Project Initiation</t>
  </si>
  <si>
    <t xml:space="preserve">      (Days)</t>
  </si>
  <si>
    <t>DEPENDENCIES</t>
  </si>
  <si>
    <t>DURATION</t>
  </si>
  <si>
    <t>DUE DATE</t>
  </si>
  <si>
    <t>START DATE</t>
  </si>
  <si>
    <t>ASSIGNED TO</t>
  </si>
  <si>
    <t>TASKS</t>
  </si>
  <si>
    <t>SPRINT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</si>
  <si>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</si>
  <si>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</si>
  <si>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</si>
  <si>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</si>
  <si>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</si>
  <si>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</si>
  <si>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</si>
  <si>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</si>
  <si>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 xml:space="preserve">Date: </t>
  </si>
  <si>
    <t>Smart Bio Detective</t>
  </si>
  <si>
    <t xml:space="preserve"> Company Name: </t>
  </si>
  <si>
    <t>Project Title: Bacterial Diagnostic and Quantification using AI</t>
  </si>
  <si>
    <t>PROJECT PLANNING</t>
  </si>
  <si>
    <t>RACI CHART</t>
  </si>
  <si>
    <t>Phase 1- Initiation</t>
  </si>
  <si>
    <t>Project Selection</t>
  </si>
  <si>
    <t>R</t>
  </si>
  <si>
    <t>A</t>
  </si>
  <si>
    <t>C</t>
  </si>
  <si>
    <t>I</t>
  </si>
  <si>
    <t>Team Contract</t>
  </si>
  <si>
    <t>Client Meeting</t>
  </si>
  <si>
    <t>Phase 2 – Planning</t>
  </si>
  <si>
    <t>Dataset Collection</t>
  </si>
  <si>
    <t>Data Understanding</t>
  </si>
  <si>
    <t>Phase 3 – Research &amp; Design</t>
  </si>
  <si>
    <t>Literature Review</t>
  </si>
  <si>
    <t>Data Preprocessing</t>
  </si>
  <si>
    <t>Pipeline Design</t>
  </si>
  <si>
    <t>Phase 4 – Implementation</t>
  </si>
  <si>
    <t>Model Development (U-Net)</t>
  </si>
  <si>
    <t>Phase 5 – Testing</t>
  </si>
  <si>
    <t>Model Evaluation</t>
  </si>
  <si>
    <t>Watershed Counting</t>
  </si>
  <si>
    <t>Error Analysis</t>
  </si>
  <si>
    <t>Phase 6 – Deployment</t>
  </si>
  <si>
    <t>Dashboard Development</t>
  </si>
  <si>
    <t>Final Testing</t>
  </si>
  <si>
    <t>Demo Preparation</t>
  </si>
  <si>
    <t>Final Submission</t>
  </si>
  <si>
    <t>COMMUNICATION PLAN</t>
  </si>
  <si>
    <t>Resources Links</t>
  </si>
  <si>
    <t>weekly Stand-up / Check-in</t>
  </si>
  <si>
    <t>weekly (Mon)</t>
  </si>
  <si>
    <t>15 minutes at the start of the defined workday.</t>
  </si>
  <si>
    <t>Messaging App (WhatsApp) or Group Video Call</t>
  </si>
  <si>
    <t>Synchronize daily activities, quickly identify roadblocks, and adjust immediate priorities.</t>
  </si>
  <si>
    <t>https://chat.whatsapp.com/EwzKgqReZXC</t>
  </si>
  <si>
    <t>Keep atleast 15 minutes. Focus on: What 
we did on past, what we will do today/further.</t>
  </si>
  <si>
    <t xml:space="preserve">October </t>
  </si>
  <si>
    <t>Combined findings from background research on AI models and data requirements
 to prepare and lead the client discussion.</t>
  </si>
  <si>
    <t>This represents the completed work done 
prior to the data acquisition phase.</t>
  </si>
  <si>
    <t>1st meeting (Scheduled)</t>
  </si>
  <si>
    <t>12 th november, 2025</t>
  </si>
  <si>
    <t>Video Call (Teams)</t>
  </si>
  <si>
    <t>Detailed discussion about the dataset, website, costing, resources and goal.</t>
  </si>
  <si>
    <t>Every Monday (12:00-15:00)</t>
  </si>
  <si>
    <t>Detailed review of technical progress, risk management plan updates, resource
 allocation, and next major milestones.</t>
  </si>
  <si>
    <t>Mandatory attendance.</t>
  </si>
  <si>
    <t>Agreed upon day/time after Kick-off
 (every other monday)</t>
  </si>
  <si>
    <t>Ensure all code, research reports, and meeting notes are
 current and accessible to all members.</t>
  </si>
  <si>
    <t>Naming conventions must be strictly followed.</t>
  </si>
  <si>
    <t>After achieving a major milestone 
(e.g., initial model training complete).</t>
  </si>
  <si>
    <t>Demonstrate model performance, address technical questions, 
and confirm requirements for Image Analysis and Quantification.</t>
  </si>
  <si>
    <t>2nd meeting (scheduled)</t>
  </si>
  <si>
    <t>Client and all members</t>
  </si>
  <si>
    <t>high</t>
  </si>
  <si>
    <t>12th december, 2025</t>
  </si>
  <si>
    <t>physical meeting</t>
  </si>
  <si>
    <t>Detailed discussion about the client expectation in project, and datasets.</t>
  </si>
  <si>
    <t>clients expectations must be fulfilled.</t>
  </si>
  <si>
    <t>Data set review meeting</t>
  </si>
  <si>
    <t>early stage</t>
  </si>
  <si>
    <t>2nd week of december</t>
  </si>
  <si>
    <t>Analyze dataset quality, structure, and issues.</t>
  </si>
  <si>
    <t>Includes missing marks and format issues.</t>
  </si>
  <si>
    <t>sprint meeting</t>
  </si>
  <si>
    <t xml:space="preserve">weekly </t>
  </si>
  <si>
    <t>medium</t>
  </si>
  <si>
    <t>once in a week.</t>
  </si>
  <si>
    <t>physical Meeting</t>
  </si>
  <si>
    <t xml:space="preserve">Review  progress, assign tasks </t>
  </si>
  <si>
    <t>covers all phases</t>
  </si>
  <si>
    <t>Technical discussion (Model training)</t>
  </si>
  <si>
    <t>Frequent (during training phase)</t>
  </si>
  <si>
    <t>During week 1 of January and Feburary</t>
  </si>
  <si>
    <t>Online and Physial meeting</t>
  </si>
  <si>
    <t>Discuss U-Net training, hyperparameters, performance.</t>
  </si>
  <si>
    <t>Focus on dice score  improvement and tuning</t>
  </si>
  <si>
    <t>Meeting with Khasayer</t>
  </si>
  <si>
    <t>once</t>
  </si>
  <si>
    <t>All members including supervisor</t>
  </si>
  <si>
    <t>21st of January</t>
  </si>
  <si>
    <t>Online meeting (via Teams)</t>
  </si>
  <si>
    <t>External support for dataset understanding.</t>
  </si>
  <si>
    <t>Provided some research samples and other similar resources.</t>
  </si>
  <si>
    <t>Debugging session</t>
  </si>
  <si>
    <t>AS needed (weekly/ monthly)</t>
  </si>
  <si>
    <t>During Feburary and march</t>
  </si>
  <si>
    <t>Physical meeting</t>
  </si>
  <si>
    <t>Resolve coding errors, GPU issues, runtime problems.</t>
  </si>
  <si>
    <t>Includes run time crashes and memory issues.</t>
  </si>
  <si>
    <t>Deployment discussion</t>
  </si>
  <si>
    <t>final stage</t>
  </si>
  <si>
    <t>All members.</t>
  </si>
  <si>
    <t>Plan streamlit dashboard and deployment</t>
  </si>
  <si>
    <t>Includes user interfce and output display</t>
  </si>
  <si>
    <t xml:space="preserve">Dashboard development updates </t>
  </si>
  <si>
    <t xml:space="preserve">Final stage </t>
  </si>
  <si>
    <t>Kiran Nyaupane</t>
  </si>
  <si>
    <t>Streamlit code sharing</t>
  </si>
  <si>
    <t>Develop and test streamlit application</t>
  </si>
  <si>
    <t>Includes upload prediction and result display</t>
  </si>
  <si>
    <t>Report writing and updates</t>
  </si>
  <si>
    <t>often</t>
  </si>
  <si>
    <t>through out the project</t>
  </si>
  <si>
    <t>Google drive, github</t>
  </si>
  <si>
    <t>maintain report and documentation</t>
  </si>
  <si>
    <t>Includes final report and poster.</t>
  </si>
  <si>
    <t xml:space="preserve">Data Pre-processing Delays: The raw data (e.g., microscopy images,
 genomic data) is inconsistent,
 poorly labeled, or requires significant time
 to clean and format for the Deep Learning Model.
</t>
  </si>
  <si>
    <t>Control the risk by dedicating a substantial, front-loaded phase for Data Wrangling. Define and enforce clear Data Quality Standards before moving to the Optimization phase.</t>
  </si>
  <si>
    <t>Data Lead (Bandika)</t>
  </si>
  <si>
    <t>closed</t>
  </si>
  <si>
    <t>Model Optimization Rework: Initial performance of the 
Deep Learning Model is insufficient for reliable bacterial diagnostics and 
quantification, forcing extensive time-consuming architectural changes.</t>
  </si>
  <si>
    <t>Control the risk by establishing clear, measurable success criteria (e.g., minimum accuracy/sensitivity) before model development begins. Implement a fast iteration cycle to allow quick adjustments.</t>
  </si>
  <si>
    <t>Model Development Lead (kiran)</t>
  </si>
  <si>
    <t xml:space="preserve">Cloud Computing Overspend: Costs for utilizing high-performance computing (HPC)
 for model training (especially for Deep Learning) exceed the initial financial estimate.
</t>
  </si>
  <si>
    <t>Control the risk by setting up strict budget alerts on the computing platform. Optimize the model architecture for efficiency and monitor resource usage daily.</t>
  </si>
  <si>
    <t>Need for External SME: The team lacks specific expertise in microscopy-based 
techniques or a specialized machine learning method necessary for Image Analysis 
and Quantification, requiring an expensive consultant.</t>
  </si>
  <si>
    <t>Model Uninterpretability: The AI model achieves high accuracy but is too complex
 to explain why it made a specific diagnosis or quantification.</t>
  </si>
  <si>
    <t>Control the risk by prioritizing Interpretable AI (XAI) techniques. Build the model to generate explainable features (e.g., highlighting bacteria regions) alongside the diagnostic output.</t>
  </si>
  <si>
    <t>accepted</t>
  </si>
  <si>
    <t>Incompatibility with Traditional Methods: The AI output is not easily integrated or compared
 with the client's existing traditional techniques (like culture-based methods).</t>
  </si>
  <si>
    <t>Client Waives Evaluation/Validation: The client states that testing in the lab is not required. 
This omission bypasses the crucial Evaluation aim, risking an unusable, inaccurate model.</t>
  </si>
  <si>
    <t>Negotiate/Minimize: Control the risk by formally documenting the client's instruction but strongly advocating for a minimum, internal validation phase using a private "hold-out" dataset. This protects the project's credibility.</t>
  </si>
  <si>
    <t>Model Training Failure (U-Net): Training does not converge or produces unstable results.</t>
  </si>
  <si>
    <t>Tune hyperparameters, adjust learning rate, use early stopping and checkpointing.</t>
  </si>
  <si>
    <t xml:space="preserve">Google Colab Runtime Crash / GPU Limit: Sessions disconnect 
or GPU becomes unavailable during training.
</t>
  </si>
  <si>
    <t>Save model checkpoints regularly and reduce batch size to prevent crashes.</t>
  </si>
  <si>
    <t>Development Team</t>
  </si>
  <si>
    <t>Data</t>
  </si>
  <si>
    <t>Dataset Imbalance / Limited Samples: Small dataset 
reduces model generalisation.</t>
  </si>
  <si>
    <t>Apply data augmentation (flip, rotation) and preprocessing techniques.</t>
  </si>
  <si>
    <t>Incorrect Segmentation Output: Model 
fails to detect bacteria properly.</t>
  </si>
  <si>
    <t>Improve loss function (Dice + BCE) and refine training process.</t>
  </si>
  <si>
    <t>Bacterial Counting Error: Overlapping bacteria cause
 incorrect counting.</t>
  </si>
  <si>
    <t>Use watershed algorithm to separate clustered bacteria.</t>
  </si>
  <si>
    <t>Development Team (All)</t>
  </si>
  <si>
    <t>Streamlit Application Failure: Dashboard does not
 run properly during demo.</t>
  </si>
  <si>
    <t>Test application before demo and keep backup results/screenshots.</t>
  </si>
  <si>
    <t>Deployment Lead (kiran)</t>
  </si>
  <si>
    <t>Communication</t>
  </si>
  <si>
    <t>Miscommunication During Debugging: Issues not clearly 
explained among team members.</t>
  </si>
  <si>
    <t>Use daily updates and clear documentation in shared folders.</t>
  </si>
  <si>
    <t>Team</t>
  </si>
  <si>
    <t>https://teams.microsoft.com/l/meetup
-join/19%3ameeting_ZGQ4MDk2MzYtODUzZS00OWU3L
WE3OGMtM2Y2NmQ5YzNiOThl%40thread.v2/0?context
=%7b%22Tid%22%3a%22245ea2d1-4365-4726-805a-63
1eb93d93aa%22%2c%22Oid%22%3a%22275ff7f8-b91d-
482a-855e-8ea98fed840c%22%7d</t>
  </si>
  <si>
    <t>https://drive.google.com/drive/folders/1MFMr_
KlCRIhVMPP1-Z8BOFkb94DiLxGb?usp=share_link</t>
  </si>
  <si>
    <t>https://github.com/kirannyaupane11/Bacterial-Diagnostics-and-Quantification-Using-AI</t>
  </si>
  <si>
    <t>https://bacteriaai.loca.lt</t>
  </si>
  <si>
    <t>Any group member was absent or did not contribute during the project.</t>
  </si>
  <si>
    <r>
      <rPr>
        <b/>
        <u/>
        <sz val="11"/>
        <color theme="1"/>
        <rFont val="Arial"/>
        <family val="2"/>
      </rPr>
      <t>Preventive actions:</t>
    </r>
    <r>
      <rPr>
        <sz val="10"/>
        <color theme="1"/>
        <rFont val="Arial"/>
        <family val="2"/>
      </rPr>
      <t xml:space="preserve">
• All files stored on Shared Google Drive. 
• Clear task allocation documented 
• Weekly meetings recorded 
</t>
    </r>
    <r>
      <rPr>
        <b/>
        <sz val="10"/>
        <color theme="1"/>
        <rFont val="Arial"/>
        <family val="2"/>
      </rPr>
      <t>When</t>
    </r>
    <r>
      <rPr>
        <b/>
        <sz val="11"/>
        <color theme="1"/>
        <rFont val="Arial"/>
        <family val="2"/>
      </rPr>
      <t xml:space="preserve"> short-term absence occured: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 xml:space="preserve">
• Tasks were redistributed between the other two members 
• Work was tracked and documented 
</t>
    </r>
    <r>
      <rPr>
        <b/>
        <sz val="10"/>
        <color theme="1"/>
        <rFont val="Arial"/>
        <family val="2"/>
      </rPr>
      <t>When</t>
    </r>
    <r>
      <rPr>
        <b/>
        <sz val="11"/>
        <color theme="1"/>
        <rFont val="Arial"/>
        <family val="2"/>
      </rPr>
      <t xml:space="preserve"> long-term absence occured:</t>
    </r>
    <r>
      <rPr>
        <sz val="10"/>
        <color theme="1"/>
        <rFont val="Arial"/>
        <family val="2"/>
      </rPr>
      <t xml:space="preserve">
• Supervisor was be informed immediately 
• Responsibilities were formally reassigned 
• Project scope was adjusted when necessary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</si>
</sst>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"/>
  </numFmts>
  <fonts count="59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sz val="9"/>
      <color rgb="FF1F3864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1F3864"/>
      <name val="Arial"/>
      <family val="2"/>
    </font>
    <font>
      <b/>
      <sz val="10"/>
      <color rgb="FFFFD700"/>
      <name val="Arial"/>
      <family val="2"/>
    </font>
    <font>
      <b/>
      <sz val="10"/>
      <color rgb="FFFFFFFF"/>
      <name val="Arial"/>
      <family val="2"/>
    </font>
    <font>
      <i/>
      <sz val="9"/>
      <color rgb="FF000000"/>
      <name val="Arial"/>
      <family val="2"/>
    </font>
    <font>
      <b/>
      <sz val="9"/>
      <color rgb="FF375623"/>
      <name val="Arial"/>
      <family val="2"/>
    </font>
    <font>
      <b/>
      <sz val="18"/>
      <color rgb="FF1F3864"/>
      <name val="Arial"/>
      <family val="2"/>
    </font>
    <font>
      <i/>
      <sz val="9"/>
      <color rgb="FF1F3864"/>
      <name val="Arial"/>
      <family val="2"/>
    </font>
    <font>
      <b/>
      <sz val="9"/>
      <color rgb="FFC55A11"/>
      <name val="Arial"/>
      <family val="2"/>
    </font>
    <font>
      <sz val="9"/>
      <color rgb="FF595959"/>
      <name val="Arial"/>
      <family val="2"/>
    </font>
    <font>
      <b/>
      <sz val="9"/>
      <color rgb="FF2E74B5"/>
      <name val="Arial"/>
      <family val="2"/>
    </font>
    <font>
      <b/>
      <sz val="10"/>
      <color rgb="FF1F3864"/>
      <name val="Arial"/>
      <family val="2"/>
    </font>
    <font>
      <b/>
      <sz val="10"/>
      <color rgb="FF1B7A6B"/>
      <name val="Arial"/>
      <family val="2"/>
    </font>
    <font>
      <b/>
      <sz val="11"/>
      <color rgb="FF1B7A6B"/>
      <name val="Arial"/>
      <family val="2"/>
    </font>
    <font>
      <b/>
      <sz val="10"/>
      <color rgb="FF2E74B5"/>
      <name val="Arial"/>
      <family val="2"/>
    </font>
    <font>
      <b/>
      <sz val="11"/>
      <color rgb="FF2E74B5"/>
      <name val="Arial"/>
      <family val="2"/>
    </font>
    <font>
      <b/>
      <sz val="12"/>
      <color rgb="FFFFFFFF"/>
      <name val="Arial"/>
      <family val="2"/>
    </font>
    <font>
      <b/>
      <sz val="14"/>
      <color rgb="FFFFD700"/>
      <name val="Arial"/>
      <family val="2"/>
    </font>
    <font>
      <sz val="9"/>
      <color rgb="FF375623"/>
      <name val="Arial"/>
      <family val="2"/>
    </font>
    <font>
      <sz val="9"/>
      <color rgb="FFC55A11"/>
      <name val="Arial"/>
      <family val="2"/>
    </font>
    <font>
      <sz val="9"/>
      <color rgb="FF2E74B5"/>
      <name val="Arial"/>
      <family val="2"/>
    </font>
    <font>
      <sz val="9"/>
      <color rgb="FF1B7A6B"/>
      <name val="Arial"/>
      <family val="2"/>
    </font>
    <font>
      <b/>
      <sz val="9"/>
      <color rgb="FF7030A0"/>
      <name val="Arial"/>
      <family val="2"/>
    </font>
    <font>
      <b/>
      <sz val="9"/>
      <color rgb="FF1B7A6B"/>
      <name val="Arial"/>
      <family val="2"/>
    </font>
    <font>
      <b/>
      <sz val="9"/>
      <color rgb="FFED7D31"/>
      <name val="Arial"/>
      <family val="2"/>
    </font>
    <font>
      <b/>
      <sz val="9"/>
      <color rgb="FFC00000"/>
      <name val="Arial"/>
      <family val="2"/>
    </font>
    <font>
      <sz val="10"/>
      <color rgb="FF000000"/>
      <name val="Arial"/>
      <family val="2"/>
    </font>
    <font>
      <b/>
      <sz val="36"/>
      <color rgb="FF000000"/>
      <name val="Arial"/>
      <family val="2"/>
    </font>
    <font>
      <b/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i/>
      <sz val="10"/>
      <color rgb="FF1F3864"/>
      <name val="Arial"/>
      <family val="2"/>
    </font>
    <font>
      <sz val="12"/>
      <color rgb="FF0061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000000"/>
      <name val="Arial (Body)"/>
    </font>
    <font>
      <sz val="11"/>
      <color rgb="FF000000"/>
      <name val="Arial (Body)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theme="3" tint="0.249977111117893"/>
      <name val="Arial (Body)"/>
    </font>
    <font>
      <b/>
      <sz val="36"/>
      <color rgb="FF006100"/>
      <name val="Arial (Body)"/>
    </font>
    <font>
      <b/>
      <sz val="36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 (Body)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D4EDEA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AD1FF"/>
      </patternFill>
    </fill>
    <fill>
      <patternFill patternType="solid">
        <fgColor rgb="FFE2EFDA"/>
      </patternFill>
    </fill>
    <fill>
      <patternFill patternType="solid">
        <fgColor rgb="FF2E74B5"/>
      </patternFill>
    </fill>
    <fill>
      <patternFill patternType="solid">
        <fgColor rgb="FF7030A0"/>
      </patternFill>
    </fill>
    <fill>
      <patternFill patternType="solid">
        <fgColor rgb="FF1B7A6B"/>
      </patternFill>
    </fill>
    <fill>
      <patternFill patternType="solid">
        <fgColor rgb="FFED7D31"/>
      </patternFill>
    </fill>
    <fill>
      <patternFill patternType="solid">
        <fgColor rgb="FFC00000"/>
      </patternFill>
    </fill>
    <fill>
      <patternFill patternType="solid">
        <fgColor rgb="FFA6E3B7"/>
        <bgColor rgb="FF000000"/>
      </patternFill>
    </fill>
    <fill>
      <patternFill patternType="solid">
        <fgColor rgb="FF4285F4"/>
        <bgColor rgb="FF000000"/>
      </patternFill>
    </fill>
    <fill>
      <patternFill patternType="solid">
        <fgColor rgb="FFD9E7FD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4285F4"/>
      </left>
      <right style="thin">
        <color rgb="FF4285F4"/>
      </right>
      <top style="thin">
        <color rgb="FF4285F4"/>
      </top>
      <bottom style="medium">
        <color rgb="FF4285F4"/>
      </bottom>
      <diagonal/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CCCCCC"/>
      </left>
      <right style="thin">
        <color indexed="64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rgb="FFCCCCCC"/>
      </right>
      <top style="thin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indexed="64"/>
      </top>
      <bottom style="thin">
        <color rgb="FFCCCCCC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indexed="64"/>
      </right>
      <top style="thin">
        <color indexed="64"/>
      </top>
      <bottom style="thin">
        <color rgb="FFCCCCCC"/>
      </bottom>
      <diagonal/>
    </border>
    <border>
      <left style="thin">
        <color indexed="64"/>
      </left>
      <right style="thin">
        <color rgb="FFCCCCCC"/>
      </right>
      <top style="thin">
        <color rgb="FFCCCCCC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indexed="64"/>
      </bottom>
      <diagonal/>
    </border>
    <border>
      <left style="thin">
        <color rgb="FFCCCCCC"/>
      </left>
      <right style="thin">
        <color indexed="64"/>
      </right>
      <top style="thin">
        <color rgb="FFCCCCCC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0" fontId="41" fillId="20" borderId="0" applyNumberFormat="0" applyBorder="0" applyAlignment="0" applyProtection="0"/>
    <xf numFmtId="0" fontId="42" fillId="0" borderId="0"/>
    <xf numFmtId="0" fontId="58" fillId="0" borderId="0" applyNumberFormat="0" applyFill="0" applyBorder="0" applyAlignment="0" applyProtection="0"/>
  </cellStyleXfs>
  <cellXfs count="17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3" fontId="15" fillId="6" borderId="1" xfId="0" applyNumberFormat="1" applyFont="1" applyFill="1" applyBorder="1" applyAlignment="1">
      <alignment horizontal="center" vertical="center"/>
    </xf>
    <xf numFmtId="3" fontId="15" fillId="4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31" fillId="15" borderId="0" xfId="0" applyFont="1" applyFill="1"/>
    <xf numFmtId="0" fontId="32" fillId="15" borderId="0" xfId="0" applyFont="1" applyFill="1"/>
    <xf numFmtId="0" fontId="33" fillId="16" borderId="2" xfId="0" applyFont="1" applyFill="1" applyBorder="1"/>
    <xf numFmtId="0" fontId="34" fillId="16" borderId="2" xfId="0" applyFont="1" applyFill="1" applyBorder="1"/>
    <xf numFmtId="0" fontId="34" fillId="16" borderId="2" xfId="0" applyFont="1" applyFill="1" applyBorder="1" applyAlignment="1">
      <alignment wrapText="1"/>
    </xf>
    <xf numFmtId="0" fontId="36" fillId="18" borderId="4" xfId="0" applyFont="1" applyFill="1" applyBorder="1" applyAlignment="1">
      <alignment horizontal="center" vertical="center"/>
    </xf>
    <xf numFmtId="0" fontId="36" fillId="19" borderId="4" xfId="0" applyFont="1" applyFill="1" applyBorder="1" applyAlignment="1">
      <alignment vertical="center" wrapText="1"/>
    </xf>
    <xf numFmtId="0" fontId="39" fillId="19" borderId="4" xfId="0" applyFont="1" applyFill="1" applyBorder="1" applyAlignment="1">
      <alignment vertical="center" wrapText="1"/>
    </xf>
    <xf numFmtId="0" fontId="35" fillId="19" borderId="4" xfId="0" applyFont="1" applyFill="1" applyBorder="1" applyAlignment="1">
      <alignment horizontal="left" vertical="center" wrapText="1"/>
    </xf>
    <xf numFmtId="0" fontId="3" fillId="10" borderId="8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4" fillId="6" borderId="11" xfId="0" applyFont="1" applyFill="1" applyBorder="1" applyAlignment="1">
      <alignment horizontal="left" vertical="center" wrapText="1"/>
    </xf>
    <xf numFmtId="0" fontId="0" fillId="0" borderId="12" xfId="0" applyBorder="1"/>
    <xf numFmtId="0" fontId="0" fillId="0" borderId="5" xfId="0" applyBorder="1"/>
    <xf numFmtId="0" fontId="0" fillId="0" borderId="13" xfId="0" applyBorder="1"/>
    <xf numFmtId="0" fontId="5" fillId="3" borderId="14" xfId="0" applyFont="1" applyFill="1" applyBorder="1" applyAlignment="1">
      <alignment horizontal="left" vertical="center" wrapText="1"/>
    </xf>
    <xf numFmtId="164" fontId="16" fillId="3" borderId="14" xfId="0" applyNumberFormat="1" applyFont="1" applyFill="1" applyBorder="1" applyAlignment="1">
      <alignment horizontal="center" vertical="center"/>
    </xf>
    <xf numFmtId="0" fontId="0" fillId="3" borderId="14" xfId="0" applyFill="1" applyBorder="1"/>
    <xf numFmtId="0" fontId="3" fillId="10" borderId="15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left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left" vertical="center" wrapText="1"/>
    </xf>
    <xf numFmtId="0" fontId="5" fillId="4" borderId="17" xfId="0" applyFont="1" applyFill="1" applyBorder="1" applyAlignment="1">
      <alignment horizontal="left" vertical="center" wrapText="1"/>
    </xf>
    <xf numFmtId="3" fontId="15" fillId="4" borderId="17" xfId="0" applyNumberFormat="1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left" vertical="center" wrapText="1"/>
    </xf>
    <xf numFmtId="0" fontId="31" fillId="17" borderId="3" xfId="0" applyFont="1" applyFill="1" applyBorder="1" applyAlignment="1">
      <alignment vertical="center"/>
    </xf>
    <xf numFmtId="0" fontId="31" fillId="17" borderId="3" xfId="0" applyFont="1" applyFill="1" applyBorder="1" applyAlignment="1">
      <alignment vertical="center" wrapText="1"/>
    </xf>
    <xf numFmtId="0" fontId="31" fillId="17" borderId="3" xfId="0" applyFont="1" applyFill="1" applyBorder="1" applyAlignment="1">
      <alignment horizontal="center" vertical="center"/>
    </xf>
    <xf numFmtId="0" fontId="42" fillId="0" borderId="0" xfId="2"/>
    <xf numFmtId="0" fontId="42" fillId="21" borderId="0" xfId="2" applyFill="1"/>
    <xf numFmtId="14" fontId="42" fillId="0" borderId="0" xfId="2" applyNumberFormat="1"/>
    <xf numFmtId="0" fontId="42" fillId="22" borderId="0" xfId="2" applyFill="1"/>
    <xf numFmtId="0" fontId="42" fillId="23" borderId="0" xfId="2" applyFill="1"/>
    <xf numFmtId="0" fontId="42" fillId="24" borderId="0" xfId="2" applyFill="1"/>
    <xf numFmtId="0" fontId="43" fillId="24" borderId="0" xfId="2" applyFont="1" applyFill="1"/>
    <xf numFmtId="0" fontId="44" fillId="0" borderId="0" xfId="2" applyFont="1"/>
    <xf numFmtId="0" fontId="45" fillId="24" borderId="0" xfId="2" applyFont="1" applyFill="1"/>
    <xf numFmtId="0" fontId="42" fillId="0" borderId="0" xfId="2" applyAlignment="1">
      <alignment horizontal="left"/>
    </xf>
    <xf numFmtId="0" fontId="44" fillId="0" borderId="0" xfId="2" applyFont="1" applyAlignment="1">
      <alignment horizontal="left"/>
    </xf>
    <xf numFmtId="0" fontId="46" fillId="0" borderId="0" xfId="2" applyFont="1" applyAlignment="1">
      <alignment horizontal="left"/>
    </xf>
    <xf numFmtId="0" fontId="42" fillId="25" borderId="0" xfId="2" applyFill="1"/>
    <xf numFmtId="0" fontId="45" fillId="25" borderId="0" xfId="2" applyFont="1" applyFill="1" applyAlignment="1">
      <alignment horizontal="left"/>
    </xf>
    <xf numFmtId="0" fontId="47" fillId="25" borderId="0" xfId="2" applyFont="1" applyFill="1"/>
    <xf numFmtId="0" fontId="47" fillId="26" borderId="0" xfId="2" applyFont="1" applyFill="1"/>
    <xf numFmtId="0" fontId="42" fillId="26" borderId="0" xfId="2" applyFill="1"/>
    <xf numFmtId="0" fontId="42" fillId="27" borderId="0" xfId="2" applyFill="1"/>
    <xf numFmtId="0" fontId="48" fillId="27" borderId="0" xfId="2" applyFont="1" applyFill="1"/>
    <xf numFmtId="0" fontId="48" fillId="27" borderId="0" xfId="2" applyFont="1" applyFill="1" applyAlignment="1">
      <alignment horizontal="center"/>
    </xf>
    <xf numFmtId="0" fontId="49" fillId="28" borderId="0" xfId="2" applyFont="1" applyFill="1"/>
    <xf numFmtId="0" fontId="49" fillId="29" borderId="0" xfId="2" applyFont="1" applyFill="1"/>
    <xf numFmtId="0" fontId="42" fillId="28" borderId="0" xfId="2" applyFill="1"/>
    <xf numFmtId="0" fontId="42" fillId="29" borderId="0" xfId="2" applyFill="1"/>
    <xf numFmtId="0" fontId="42" fillId="30" borderId="0" xfId="2" applyFill="1"/>
    <xf numFmtId="0" fontId="41" fillId="30" borderId="0" xfId="1" applyFill="1"/>
    <xf numFmtId="14" fontId="41" fillId="30" borderId="0" xfId="1" applyNumberFormat="1" applyFill="1"/>
    <xf numFmtId="0" fontId="41" fillId="30" borderId="0" xfId="1" applyFill="1" applyAlignment="1">
      <alignment horizontal="left"/>
    </xf>
    <xf numFmtId="0" fontId="50" fillId="30" borderId="0" xfId="1" applyFont="1" applyFill="1"/>
    <xf numFmtId="0" fontId="51" fillId="30" borderId="0" xfId="1" applyFont="1" applyFill="1"/>
    <xf numFmtId="0" fontId="41" fillId="20" borderId="0" xfId="1"/>
    <xf numFmtId="0" fontId="0" fillId="32" borderId="0" xfId="0" applyFill="1"/>
    <xf numFmtId="0" fontId="52" fillId="32" borderId="0" xfId="0" applyFont="1" applyFill="1"/>
    <xf numFmtId="0" fontId="55" fillId="33" borderId="0" xfId="0" applyFont="1" applyFill="1" applyAlignment="1">
      <alignment horizontal="center" vertical="center"/>
    </xf>
    <xf numFmtId="0" fontId="56" fillId="0" borderId="0" xfId="0" applyFont="1"/>
    <xf numFmtId="0" fontId="56" fillId="0" borderId="0" xfId="0" applyFont="1" applyAlignment="1">
      <alignment horizontal="center" vertical="center"/>
    </xf>
    <xf numFmtId="0" fontId="0" fillId="33" borderId="19" xfId="0" applyFill="1" applyBorder="1" applyAlignment="1">
      <alignment vertical="center" wrapText="1"/>
    </xf>
    <xf numFmtId="0" fontId="0" fillId="33" borderId="20" xfId="0" applyFill="1" applyBorder="1" applyAlignment="1">
      <alignment vertical="center"/>
    </xf>
    <xf numFmtId="0" fontId="0" fillId="33" borderId="21" xfId="0" applyFill="1" applyBorder="1" applyAlignment="1">
      <alignment vertical="center"/>
    </xf>
    <xf numFmtId="0" fontId="0" fillId="34" borderId="22" xfId="0" applyFill="1" applyBorder="1" applyAlignment="1">
      <alignment vertical="center"/>
    </xf>
    <xf numFmtId="0" fontId="0" fillId="34" borderId="23" xfId="0" applyFill="1" applyBorder="1" applyAlignment="1">
      <alignment vertical="center"/>
    </xf>
    <xf numFmtId="0" fontId="58" fillId="34" borderId="23" xfId="3" applyFill="1" applyBorder="1" applyAlignment="1">
      <alignment vertical="center"/>
    </xf>
    <xf numFmtId="0" fontId="0" fillId="34" borderId="24" xfId="0" applyFill="1" applyBorder="1" applyAlignment="1">
      <alignment vertical="center" wrapText="1"/>
    </xf>
    <xf numFmtId="0" fontId="0" fillId="34" borderId="23" xfId="0" applyFill="1" applyBorder="1" applyAlignment="1">
      <alignment vertical="center" wrapText="1"/>
    </xf>
    <xf numFmtId="0" fontId="0" fillId="34" borderId="24" xfId="0" applyFill="1" applyBorder="1" applyAlignment="1">
      <alignment vertical="center"/>
    </xf>
    <xf numFmtId="0" fontId="0" fillId="34" borderId="25" xfId="0" applyFill="1" applyBorder="1" applyAlignment="1">
      <alignment vertical="center"/>
    </xf>
    <xf numFmtId="0" fontId="0" fillId="34" borderId="26" xfId="0" applyFill="1" applyBorder="1" applyAlignment="1">
      <alignment vertical="center"/>
    </xf>
    <xf numFmtId="0" fontId="0" fillId="34" borderId="26" xfId="0" applyFill="1" applyBorder="1" applyAlignment="1">
      <alignment vertical="center" wrapText="1"/>
    </xf>
    <xf numFmtId="0" fontId="0" fillId="34" borderId="27" xfId="0" applyFill="1" applyBorder="1" applyAlignment="1">
      <alignment vertical="center"/>
    </xf>
    <xf numFmtId="0" fontId="53" fillId="31" borderId="0" xfId="0" applyFont="1" applyFill="1" applyAlignment="1">
      <alignment horizontal="center"/>
    </xf>
    <xf numFmtId="0" fontId="54" fillId="33" borderId="23" xfId="0" applyFont="1" applyFill="1" applyBorder="1" applyAlignment="1">
      <alignment vertical="top" wrapText="1"/>
    </xf>
    <xf numFmtId="0" fontId="54" fillId="33" borderId="23" xfId="0" applyFont="1" applyFill="1" applyBorder="1" applyAlignment="1">
      <alignment vertical="center" wrapText="1"/>
    </xf>
    <xf numFmtId="0" fontId="58" fillId="34" borderId="23" xfId="3" applyFill="1" applyBorder="1" applyAlignment="1">
      <alignment vertical="center" wrapText="1"/>
    </xf>
    <xf numFmtId="0" fontId="57" fillId="32" borderId="0" xfId="0" applyFont="1" applyFill="1"/>
    <xf numFmtId="0" fontId="0" fillId="32" borderId="0" xfId="0" applyFill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0" fillId="2" borderId="1" xfId="0" applyFill="1" applyBorder="1"/>
    <xf numFmtId="0" fontId="55" fillId="28" borderId="0" xfId="0" applyFont="1" applyFill="1"/>
    <xf numFmtId="0" fontId="56" fillId="28" borderId="0" xfId="0" applyFont="1" applyFill="1"/>
    <xf numFmtId="0" fontId="11" fillId="5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left" vertical="center" indent="1"/>
    </xf>
    <xf numFmtId="0" fontId="12" fillId="9" borderId="1" xfId="0" applyFont="1" applyFill="1" applyBorder="1" applyAlignment="1">
      <alignment horizontal="left" vertical="center" wrapText="1" indent="1"/>
    </xf>
    <xf numFmtId="0" fontId="2" fillId="9" borderId="1" xfId="0" applyFont="1" applyFill="1" applyBorder="1" applyAlignment="1">
      <alignment horizontal="left" vertical="center" wrapText="1" indent="1"/>
    </xf>
    <xf numFmtId="0" fontId="12" fillId="7" borderId="1" xfId="0" applyFont="1" applyFill="1" applyBorder="1" applyAlignment="1">
      <alignment horizontal="left" vertical="center" wrapText="1" indent="1"/>
    </xf>
    <xf numFmtId="0" fontId="11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 indent="1"/>
    </xf>
    <xf numFmtId="0" fontId="11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 indent="1"/>
    </xf>
    <xf numFmtId="0" fontId="9" fillId="4" borderId="1" xfId="0" applyFont="1" applyFill="1" applyBorder="1" applyAlignment="1">
      <alignment horizontal="left" vertical="center" wrapText="1" indent="1"/>
    </xf>
    <xf numFmtId="0" fontId="12" fillId="8" borderId="1" xfId="0" applyFont="1" applyFill="1" applyBorder="1" applyAlignment="1">
      <alignment horizontal="left" vertical="center" wrapText="1" indent="1"/>
    </xf>
    <xf numFmtId="0" fontId="11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 indent="1"/>
    </xf>
    <xf numFmtId="0" fontId="11" fillId="9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 wrapText="1" indent="1"/>
    </xf>
    <xf numFmtId="0" fontId="2" fillId="8" borderId="1" xfId="0" applyFont="1" applyFill="1" applyBorder="1" applyAlignment="1">
      <alignment horizontal="left" vertical="center" wrapText="1" indent="1"/>
    </xf>
    <xf numFmtId="0" fontId="12" fillId="5" borderId="1" xfId="0" applyFont="1" applyFill="1" applyBorder="1" applyAlignment="1">
      <alignment horizontal="left" vertical="center" wrapText="1" indent="1"/>
    </xf>
    <xf numFmtId="0" fontId="11" fillId="7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21" fillId="2" borderId="1" xfId="0" applyFont="1" applyFill="1" applyBorder="1" applyAlignment="1">
      <alignment horizontal="right" vertical="center"/>
    </xf>
    <xf numFmtId="164" fontId="20" fillId="3" borderId="1" xfId="0" applyNumberFormat="1" applyFont="1" applyFill="1" applyBorder="1" applyAlignment="1">
      <alignment horizontal="center" vertical="center"/>
    </xf>
    <xf numFmtId="164" fontId="18" fillId="5" borderId="1" xfId="0" applyNumberFormat="1" applyFont="1" applyFill="1" applyBorder="1" applyAlignment="1">
      <alignment horizontal="center" vertical="center"/>
    </xf>
    <xf numFmtId="164" fontId="22" fillId="2" borderId="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right" vertical="center"/>
    </xf>
    <xf numFmtId="0" fontId="40" fillId="3" borderId="1" xfId="0" applyFont="1" applyFill="1" applyBorder="1" applyAlignment="1">
      <alignment horizontal="left" vertical="center" wrapText="1" indent="1"/>
    </xf>
    <xf numFmtId="0" fontId="35" fillId="0" borderId="0" xfId="0" applyFont="1"/>
    <xf numFmtId="0" fontId="14" fillId="4" borderId="1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/>
    </xf>
    <xf numFmtId="0" fontId="6" fillId="3" borderId="1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 indent="1"/>
    </xf>
    <xf numFmtId="0" fontId="3" fillId="10" borderId="9" xfId="0" applyFont="1" applyFill="1" applyBorder="1" applyAlignment="1">
      <alignment horizontal="center" vertical="center" wrapText="1"/>
    </xf>
    <xf numFmtId="0" fontId="0" fillId="0" borderId="10" xfId="0" applyBorder="1"/>
    <xf numFmtId="0" fontId="19" fillId="3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 wrapText="1" indent="2"/>
    </xf>
    <xf numFmtId="0" fontId="23" fillId="9" borderId="1" xfId="0" applyFont="1" applyFill="1" applyBorder="1" applyAlignment="1">
      <alignment horizontal="left" vertical="center" wrapText="1" indent="2"/>
    </xf>
    <xf numFmtId="0" fontId="26" fillId="5" borderId="1" xfId="0" applyFont="1" applyFill="1" applyBorder="1" applyAlignment="1">
      <alignment horizontal="left" vertical="center" wrapText="1" indent="2"/>
    </xf>
    <xf numFmtId="0" fontId="25" fillId="3" borderId="1" xfId="0" applyFont="1" applyFill="1" applyBorder="1" applyAlignment="1">
      <alignment horizontal="left" vertical="center" wrapText="1" indent="2"/>
    </xf>
    <xf numFmtId="0" fontId="24" fillId="7" borderId="1" xfId="0" applyFont="1" applyFill="1" applyBorder="1" applyAlignment="1">
      <alignment horizontal="left" vertical="center" wrapText="1" indent="2"/>
    </xf>
    <xf numFmtId="0" fontId="8" fillId="11" borderId="1" xfId="0" applyFont="1" applyFill="1" applyBorder="1" applyAlignment="1">
      <alignment horizontal="left" vertical="center" indent="1"/>
    </xf>
    <xf numFmtId="0" fontId="8" fillId="12" borderId="1" xfId="0" applyFont="1" applyFill="1" applyBorder="1" applyAlignment="1">
      <alignment horizontal="left" vertical="center" indent="1"/>
    </xf>
    <xf numFmtId="0" fontId="8" fillId="14" borderId="1" xfId="0" applyFont="1" applyFill="1" applyBorder="1" applyAlignment="1">
      <alignment horizontal="left" vertical="center" indent="1"/>
    </xf>
    <xf numFmtId="0" fontId="8" fillId="13" borderId="1" xfId="0" applyFont="1" applyFill="1" applyBorder="1" applyAlignment="1">
      <alignment horizontal="left" vertical="center" indent="1"/>
    </xf>
  </cellXfs>
  <cellStyles count="4">
    <cellStyle name="Good" xfId="1" builtinId="26"/>
    <cellStyle name="Hyperlink" xfId="3" builtinId="8"/>
    <cellStyle name="Normal" xfId="0" builtinId="0"/>
    <cellStyle name="Normal 2" xfId="2" xr:uid="{DF2DEACE-D4C2-814C-92AE-349BAD2F485C}"/>
  </cellStyles>
  <dxfs count="14">
    <dxf>
      <fill>
        <patternFill patternType="solid">
          <fgColor indexed="64"/>
          <bgColor theme="4" tint="0.79998168889431442"/>
        </patternFill>
      </fill>
      <alignment vertic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vertic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4" tint="0.79998168889431442"/>
        </patternFill>
      </fill>
      <alignment vertical="center"/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7" tint="0.59999389629810485"/>
        </patternFill>
      </fill>
      <alignment vertical="center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35</xdr:col>
      <xdr:colOff>229636</xdr:colOff>
      <xdr:row>1</xdr:row>
      <xdr:rowOff>0</xdr:rowOff>
    </xdr:from>
    <xdr:ext cx="1233490" cy="867463"/>
    <xdr:pic>
      <xdr:nvPicPr>
        <xdr:cNvPr id="2" name="Picture 1">
          <a:extLst>
            <a:ext uri="{FF2B5EF4-FFF2-40B4-BE49-F238E27FC236}">
              <a16:creationId xmlns:a16="http://schemas.microsoft.com/office/drawing/2014/main" id="{1A43CE82-6F23-504F-B103-C8E2DCCDD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22136" y="165100"/>
          <a:ext cx="1233490" cy="867463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45417F-C014-2C4E-8071-DCC08DE49705}" name="Table1" displayName="Table1" ref="A2:I18" totalsRowShown="0" headerRowDxfId="13" dataDxfId="11" headerRowBorderDxfId="12" tableBorderDxfId="10" totalsRowBorderDxfId="9">
  <autoFilter ref="A2:I18" xr:uid="{5E45417F-C014-2C4E-8071-DCC08DE49705}"/>
  <tableColumns count="9">
    <tableColumn id="1" xr3:uid="{4E10070C-330D-5D49-BF99-BBF0E59D22A2}" name="Type of Communication" dataDxfId="8"/>
    <tableColumn id="2" xr3:uid="{F815E026-9912-B141-9D65-92D051265639}" name="Frequency" dataDxfId="7"/>
    <tableColumn id="3" xr3:uid="{3C9CE0A2-ACC4-8348-9CBF-8B1EA2B8AFDA}" name="Sender/Owner" dataDxfId="6"/>
    <tableColumn id="4" xr3:uid="{0984718A-2D21-7A4E-A143-2345C7E01466}" name="Priority" dataDxfId="5"/>
    <tableColumn id="5" xr3:uid="{1988004E-EA33-CD4B-A975-0653CBC7E704}" name="Key Dates/Schedule" dataDxfId="4"/>
    <tableColumn id="6" xr3:uid="{71EAF429-E8F1-EE49-AE5E-82A907F1FE9F}" name="Delivery Method" dataDxfId="3"/>
    <tableColumn id="7" xr3:uid="{42979C3A-4426-FA43-B182-DEB3C67E4311}" name="Goals" dataDxfId="2"/>
    <tableColumn id="8" xr3:uid="{607EE18F-01F2-DC4C-8267-81D3F95A161D}" name="Resources Links" dataDxfId="1"/>
    <tableColumn id="9" xr3:uid="{6623B68B-4CC3-0941-843E-3D6EA4D23435}" name="Not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teams.microsoft.com/l/meetup-join/19%3ameeting_ZGQ4MDk2MzYtODUzZS00OWU3LWE3OGMtM2Y2NmQ5YzNiOThl%40thread.v2/0?context=%7b%22Tid%22%3a%22245ea2d1-4365-4726-805a-631eb93d93aa%22%2c%22Oid%22%3a%22275ff7f8-b91d-482a-855e-8ea98fed840c%22%7d" TargetMode="External"/><Relationship Id="rId2" Type="http://schemas.openxmlformats.org/officeDocument/2006/relationships/hyperlink" Target="https://drive.google.com/drive/folders/1MFMr_KlCRIhVMPP1-Z8BOFkb94DiLxGb?usp=share_link" TargetMode="External"/><Relationship Id="rId1" Type="http://schemas.openxmlformats.org/officeDocument/2006/relationships/hyperlink" Target="https://chat.whatsapp.com/EwzKgqReZXC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teams.microsoft.com/l/meetup-join/19%3ameeting_ZGQ4MDk2MzYtODUzZS00OWU3LWE3OGMtM2Y2NmQ5YzNiOThl%40thread.v2/0?context=%7b%22Tid%22%3a%22245ea2d1-4365-4726-805a-631eb93d93aa%22%2c%22Oid%22%3a%22275ff7f8-b91d-482a-855e-8ea98fed840c%22%7d" TargetMode="External"/><Relationship Id="rId4" Type="http://schemas.openxmlformats.org/officeDocument/2006/relationships/hyperlink" Target="https://drive.google.com/drive/folders/1MFMr_KlCRIhVMPP1-Z8BOFkb94DiLxGb?usp=shar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workbookViewId="0">
      <selection sqref="A1:G1"/>
    </sheetView>
  </sheetViews>
  <sheetFormatPr baseColWidth="10" defaultColWidth="8.83203125" defaultRowHeight="15" x14ac:dyDescent="0.2"/>
  <cols>
    <col min="1" max="1" width="8" customWidth="1"/>
    <col min="2" max="2" width="42" customWidth="1"/>
    <col min="3" max="3" width="38" customWidth="1"/>
    <col min="4" max="4" width="14" customWidth="1"/>
    <col min="5" max="5" width="10" customWidth="1"/>
    <col min="6" max="6" width="14" customWidth="1"/>
    <col min="7" max="7" width="12" customWidth="1"/>
  </cols>
  <sheetData>
    <row r="1" spans="1:7" ht="32" customHeight="1" x14ac:dyDescent="0.2">
      <c r="A1" s="127" t="s">
        <v>0</v>
      </c>
      <c r="B1" s="126"/>
      <c r="C1" s="126"/>
      <c r="D1" s="126"/>
      <c r="E1" s="126"/>
      <c r="F1" s="126"/>
      <c r="G1" s="126"/>
    </row>
    <row r="2" spans="1:7" ht="18" customHeight="1" x14ac:dyDescent="0.2">
      <c r="A2" s="125" t="s">
        <v>1</v>
      </c>
      <c r="B2" s="126"/>
      <c r="C2" s="126"/>
      <c r="D2" s="126"/>
      <c r="E2" s="126"/>
      <c r="F2" s="126"/>
      <c r="G2" s="126"/>
    </row>
    <row r="3" spans="1:7" ht="22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42" customHeight="1" x14ac:dyDescent="0.2">
      <c r="A4" s="2" t="s">
        <v>9</v>
      </c>
      <c r="B4" s="3" t="s">
        <v>10</v>
      </c>
      <c r="C4" s="3" t="s">
        <v>11</v>
      </c>
      <c r="D4" s="4" t="s">
        <v>12</v>
      </c>
      <c r="E4" s="5">
        <v>5</v>
      </c>
      <c r="F4" s="5" t="s">
        <v>13</v>
      </c>
      <c r="G4" s="6" t="s">
        <v>14</v>
      </c>
    </row>
    <row r="5" spans="1:7" ht="42" customHeight="1" x14ac:dyDescent="0.2">
      <c r="A5" s="7" t="s">
        <v>15</v>
      </c>
      <c r="B5" s="8" t="s">
        <v>16</v>
      </c>
      <c r="C5" s="8" t="s">
        <v>17</v>
      </c>
      <c r="D5" s="4" t="s">
        <v>12</v>
      </c>
      <c r="E5" s="9">
        <v>3</v>
      </c>
      <c r="F5" s="9" t="s">
        <v>18</v>
      </c>
      <c r="G5" s="6" t="s">
        <v>14</v>
      </c>
    </row>
    <row r="6" spans="1:7" ht="42" customHeight="1" x14ac:dyDescent="0.2">
      <c r="A6" s="2" t="s">
        <v>19</v>
      </c>
      <c r="B6" s="3" t="s">
        <v>20</v>
      </c>
      <c r="C6" s="3" t="s">
        <v>21</v>
      </c>
      <c r="D6" s="4" t="s">
        <v>12</v>
      </c>
      <c r="E6" s="5">
        <v>8</v>
      </c>
      <c r="F6" s="5" t="s">
        <v>18</v>
      </c>
      <c r="G6" s="10" t="s">
        <v>22</v>
      </c>
    </row>
    <row r="7" spans="1:7" ht="42" customHeight="1" x14ac:dyDescent="0.2">
      <c r="A7" s="7" t="s">
        <v>23</v>
      </c>
      <c r="B7" s="8" t="s">
        <v>24</v>
      </c>
      <c r="C7" s="8" t="s">
        <v>25</v>
      </c>
      <c r="D7" s="4" t="s">
        <v>12</v>
      </c>
      <c r="E7" s="9">
        <v>8</v>
      </c>
      <c r="F7" s="9" t="s">
        <v>26</v>
      </c>
      <c r="G7" s="10" t="s">
        <v>22</v>
      </c>
    </row>
    <row r="8" spans="1:7" ht="42" customHeight="1" x14ac:dyDescent="0.2">
      <c r="A8" s="2" t="s">
        <v>27</v>
      </c>
      <c r="B8" s="3" t="s">
        <v>28</v>
      </c>
      <c r="C8" s="3" t="s">
        <v>29</v>
      </c>
      <c r="D8" s="4" t="s">
        <v>12</v>
      </c>
      <c r="E8" s="5">
        <v>5</v>
      </c>
      <c r="F8" s="5" t="s">
        <v>26</v>
      </c>
      <c r="G8" s="10" t="s">
        <v>22</v>
      </c>
    </row>
    <row r="9" spans="1:7" ht="42" customHeight="1" x14ac:dyDescent="0.2">
      <c r="A9" s="7" t="s">
        <v>30</v>
      </c>
      <c r="B9" s="8" t="s">
        <v>31</v>
      </c>
      <c r="C9" s="8" t="s">
        <v>32</v>
      </c>
      <c r="D9" s="4" t="s">
        <v>12</v>
      </c>
      <c r="E9" s="9">
        <v>13</v>
      </c>
      <c r="F9" s="9" t="s">
        <v>33</v>
      </c>
      <c r="G9" s="11" t="s">
        <v>34</v>
      </c>
    </row>
    <row r="10" spans="1:7" ht="42" customHeight="1" x14ac:dyDescent="0.2">
      <c r="A10" s="2" t="s">
        <v>35</v>
      </c>
      <c r="B10" s="3" t="s">
        <v>36</v>
      </c>
      <c r="C10" s="3" t="s">
        <v>37</v>
      </c>
      <c r="D10" s="4" t="s">
        <v>12</v>
      </c>
      <c r="E10" s="5">
        <v>8</v>
      </c>
      <c r="F10" s="5" t="s">
        <v>33</v>
      </c>
      <c r="G10" s="11" t="s">
        <v>34</v>
      </c>
    </row>
    <row r="11" spans="1:7" ht="42" customHeight="1" x14ac:dyDescent="0.2">
      <c r="A11" s="7" t="s">
        <v>38</v>
      </c>
      <c r="B11" s="8" t="s">
        <v>39</v>
      </c>
      <c r="C11" s="8" t="s">
        <v>40</v>
      </c>
      <c r="D11" s="4" t="s">
        <v>12</v>
      </c>
      <c r="E11" s="9">
        <v>8</v>
      </c>
      <c r="F11" s="9" t="s">
        <v>26</v>
      </c>
      <c r="G11" s="11" t="s">
        <v>34</v>
      </c>
    </row>
    <row r="12" spans="1:7" ht="42" customHeight="1" x14ac:dyDescent="0.2">
      <c r="A12" s="2" t="s">
        <v>41</v>
      </c>
      <c r="B12" s="3" t="s">
        <v>42</v>
      </c>
      <c r="C12" s="3" t="s">
        <v>43</v>
      </c>
      <c r="D12" s="4" t="s">
        <v>12</v>
      </c>
      <c r="E12" s="5">
        <v>8</v>
      </c>
      <c r="F12" s="5" t="s">
        <v>26</v>
      </c>
      <c r="G12" s="12" t="s">
        <v>44</v>
      </c>
    </row>
    <row r="13" spans="1:7" ht="42" customHeight="1" x14ac:dyDescent="0.2">
      <c r="A13" s="7" t="s">
        <v>45</v>
      </c>
      <c r="B13" s="8" t="s">
        <v>46</v>
      </c>
      <c r="C13" s="8" t="s">
        <v>47</v>
      </c>
      <c r="D13" s="4" t="s">
        <v>12</v>
      </c>
      <c r="E13" s="9">
        <v>13</v>
      </c>
      <c r="F13" s="9" t="s">
        <v>26</v>
      </c>
      <c r="G13" s="12" t="s">
        <v>44</v>
      </c>
    </row>
    <row r="14" spans="1:7" ht="42" customHeight="1" x14ac:dyDescent="0.2">
      <c r="A14" s="2" t="s">
        <v>48</v>
      </c>
      <c r="B14" s="3" t="s">
        <v>49</v>
      </c>
      <c r="C14" s="3" t="s">
        <v>50</v>
      </c>
      <c r="D14" s="4" t="s">
        <v>12</v>
      </c>
      <c r="E14" s="5">
        <v>5</v>
      </c>
      <c r="F14" s="5" t="s">
        <v>13</v>
      </c>
      <c r="G14" s="12" t="s">
        <v>44</v>
      </c>
    </row>
    <row r="15" spans="1:7" ht="42" customHeight="1" x14ac:dyDescent="0.2">
      <c r="A15" s="7" t="s">
        <v>51</v>
      </c>
      <c r="B15" s="8" t="s">
        <v>52</v>
      </c>
      <c r="C15" s="8" t="s">
        <v>53</v>
      </c>
      <c r="D15" s="4" t="s">
        <v>12</v>
      </c>
      <c r="E15" s="9">
        <v>13</v>
      </c>
      <c r="F15" s="9" t="s">
        <v>13</v>
      </c>
      <c r="G15" s="12" t="s">
        <v>44</v>
      </c>
    </row>
    <row r="16" spans="1:7" ht="42" customHeight="1" x14ac:dyDescent="0.2">
      <c r="A16" s="2" t="s">
        <v>54</v>
      </c>
      <c r="B16" s="3" t="s">
        <v>55</v>
      </c>
      <c r="C16" s="3" t="s">
        <v>56</v>
      </c>
      <c r="D16" s="4" t="s">
        <v>12</v>
      </c>
      <c r="E16" s="5">
        <v>21</v>
      </c>
      <c r="F16" s="5" t="s">
        <v>13</v>
      </c>
      <c r="G16" s="12" t="s">
        <v>44</v>
      </c>
    </row>
    <row r="17" spans="1:7" ht="42" customHeight="1" x14ac:dyDescent="0.2">
      <c r="A17" s="7" t="s">
        <v>57</v>
      </c>
      <c r="B17" s="8" t="s">
        <v>58</v>
      </c>
      <c r="C17" s="8" t="s">
        <v>59</v>
      </c>
      <c r="D17" s="4" t="s">
        <v>12</v>
      </c>
      <c r="E17" s="9">
        <v>5</v>
      </c>
      <c r="F17" s="9" t="s">
        <v>13</v>
      </c>
      <c r="G17" s="12" t="s">
        <v>44</v>
      </c>
    </row>
    <row r="18" spans="1:7" ht="42" customHeight="1" x14ac:dyDescent="0.2">
      <c r="A18" s="2" t="s">
        <v>60</v>
      </c>
      <c r="B18" s="3" t="s">
        <v>61</v>
      </c>
      <c r="C18" s="3" t="s">
        <v>62</v>
      </c>
      <c r="D18" s="4" t="s">
        <v>12</v>
      </c>
      <c r="E18" s="5">
        <v>21</v>
      </c>
      <c r="F18" s="5" t="s">
        <v>13</v>
      </c>
      <c r="G18" s="13" t="s">
        <v>63</v>
      </c>
    </row>
    <row r="19" spans="1:7" ht="42" customHeight="1" x14ac:dyDescent="0.2">
      <c r="A19" s="7" t="s">
        <v>64</v>
      </c>
      <c r="B19" s="8" t="s">
        <v>65</v>
      </c>
      <c r="C19" s="8" t="s">
        <v>66</v>
      </c>
      <c r="D19" s="4" t="s">
        <v>12</v>
      </c>
      <c r="E19" s="9">
        <v>8</v>
      </c>
      <c r="F19" s="9" t="s">
        <v>13</v>
      </c>
      <c r="G19" s="13" t="s">
        <v>63</v>
      </c>
    </row>
    <row r="20" spans="1:7" ht="42" customHeight="1" x14ac:dyDescent="0.2">
      <c r="A20" s="2" t="s">
        <v>67</v>
      </c>
      <c r="B20" s="3" t="s">
        <v>68</v>
      </c>
      <c r="C20" s="3" t="s">
        <v>69</v>
      </c>
      <c r="D20" s="4" t="s">
        <v>12</v>
      </c>
      <c r="E20" s="5">
        <v>13</v>
      </c>
      <c r="F20" s="5" t="s">
        <v>33</v>
      </c>
      <c r="G20" s="13" t="s">
        <v>63</v>
      </c>
    </row>
    <row r="21" spans="1:7" ht="42" customHeight="1" x14ac:dyDescent="0.2">
      <c r="A21" s="7" t="s">
        <v>70</v>
      </c>
      <c r="B21" s="8" t="s">
        <v>71</v>
      </c>
      <c r="C21" s="8" t="s">
        <v>72</v>
      </c>
      <c r="D21" s="4" t="s">
        <v>12</v>
      </c>
      <c r="E21" s="9">
        <v>5</v>
      </c>
      <c r="F21" s="9" t="s">
        <v>33</v>
      </c>
      <c r="G21" s="13" t="s">
        <v>63</v>
      </c>
    </row>
    <row r="22" spans="1:7" ht="42" customHeight="1" x14ac:dyDescent="0.2">
      <c r="A22" s="2" t="s">
        <v>73</v>
      </c>
      <c r="B22" s="3" t="s">
        <v>74</v>
      </c>
      <c r="C22" s="3" t="s">
        <v>75</v>
      </c>
      <c r="D22" s="4" t="s">
        <v>12</v>
      </c>
      <c r="E22" s="5">
        <v>8</v>
      </c>
      <c r="F22" s="5" t="s">
        <v>33</v>
      </c>
      <c r="G22" s="13" t="s">
        <v>63</v>
      </c>
    </row>
    <row r="23" spans="1:7" ht="42" customHeight="1" x14ac:dyDescent="0.2">
      <c r="A23" s="7" t="s">
        <v>76</v>
      </c>
      <c r="B23" s="8" t="s">
        <v>77</v>
      </c>
      <c r="C23" s="8" t="s">
        <v>78</v>
      </c>
      <c r="D23" s="4" t="s">
        <v>12</v>
      </c>
      <c r="E23" s="9">
        <v>13</v>
      </c>
      <c r="F23" s="9" t="s">
        <v>33</v>
      </c>
      <c r="G23" s="13" t="s">
        <v>63</v>
      </c>
    </row>
    <row r="24" spans="1:7" ht="42" customHeight="1" x14ac:dyDescent="0.2">
      <c r="A24" s="2" t="s">
        <v>79</v>
      </c>
      <c r="B24" s="3" t="s">
        <v>80</v>
      </c>
      <c r="C24" s="3" t="s">
        <v>81</v>
      </c>
      <c r="D24" s="4" t="s">
        <v>12</v>
      </c>
      <c r="E24" s="5">
        <v>13</v>
      </c>
      <c r="F24" s="5" t="s">
        <v>13</v>
      </c>
      <c r="G24" s="13" t="s">
        <v>63</v>
      </c>
    </row>
    <row r="25" spans="1:7" ht="42" customHeight="1" x14ac:dyDescent="0.2">
      <c r="A25" s="7" t="s">
        <v>82</v>
      </c>
      <c r="B25" s="8" t="s">
        <v>83</v>
      </c>
      <c r="C25" s="8" t="s">
        <v>84</v>
      </c>
      <c r="D25" s="4" t="s">
        <v>12</v>
      </c>
      <c r="E25" s="9">
        <v>13</v>
      </c>
      <c r="F25" s="9" t="s">
        <v>13</v>
      </c>
      <c r="G25" s="4" t="s">
        <v>85</v>
      </c>
    </row>
    <row r="26" spans="1:7" ht="42" customHeight="1" x14ac:dyDescent="0.2">
      <c r="A26" s="2" t="s">
        <v>86</v>
      </c>
      <c r="B26" s="3" t="s">
        <v>87</v>
      </c>
      <c r="C26" s="3" t="s">
        <v>88</v>
      </c>
      <c r="D26" s="11" t="s">
        <v>89</v>
      </c>
      <c r="E26" s="5">
        <v>5</v>
      </c>
      <c r="F26" s="5" t="s">
        <v>13</v>
      </c>
      <c r="G26" s="4" t="s">
        <v>85</v>
      </c>
    </row>
    <row r="27" spans="1:7" ht="42" customHeight="1" x14ac:dyDescent="0.2">
      <c r="A27" s="7" t="s">
        <v>90</v>
      </c>
      <c r="B27" s="8" t="s">
        <v>91</v>
      </c>
      <c r="C27" s="8" t="s">
        <v>92</v>
      </c>
      <c r="D27" s="4" t="s">
        <v>12</v>
      </c>
      <c r="E27" s="9">
        <v>3</v>
      </c>
      <c r="F27" s="9" t="s">
        <v>13</v>
      </c>
      <c r="G27" s="4" t="s">
        <v>85</v>
      </c>
    </row>
    <row r="28" spans="1:7" ht="42" customHeight="1" x14ac:dyDescent="0.2">
      <c r="A28" s="2" t="s">
        <v>93</v>
      </c>
      <c r="B28" s="3" t="s">
        <v>94</v>
      </c>
      <c r="C28" s="3" t="s">
        <v>95</v>
      </c>
      <c r="D28" s="4" t="s">
        <v>12</v>
      </c>
      <c r="E28" s="5">
        <v>5</v>
      </c>
      <c r="F28" s="5" t="s">
        <v>18</v>
      </c>
      <c r="G28" s="4" t="s">
        <v>85</v>
      </c>
    </row>
    <row r="29" spans="1:7" ht="42" customHeight="1" x14ac:dyDescent="0.2">
      <c r="A29" s="7" t="s">
        <v>96</v>
      </c>
      <c r="B29" s="8" t="s">
        <v>97</v>
      </c>
      <c r="C29" s="8" t="s">
        <v>98</v>
      </c>
      <c r="D29" s="4" t="s">
        <v>12</v>
      </c>
      <c r="E29" s="9">
        <v>8</v>
      </c>
      <c r="F29" s="9" t="s">
        <v>18</v>
      </c>
      <c r="G29" s="4" t="s">
        <v>85</v>
      </c>
    </row>
    <row r="30" spans="1:7" x14ac:dyDescent="0.2">
      <c r="A30" s="128" t="s">
        <v>99</v>
      </c>
      <c r="B30" s="126"/>
      <c r="C30" s="126"/>
      <c r="D30" s="126"/>
      <c r="E30" s="14">
        <f>SUM(E4:E29)</f>
        <v>238</v>
      </c>
      <c r="F30" s="129"/>
      <c r="G30" s="126"/>
    </row>
  </sheetData>
  <mergeCells count="4">
    <mergeCell ref="A2:G2"/>
    <mergeCell ref="A1:G1"/>
    <mergeCell ref="A30:D30"/>
    <mergeCell ref="F30:G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E993-50B9-F74B-924E-8D23051A5B53}">
  <dimension ref="A1:E29"/>
  <sheetViews>
    <sheetView workbookViewId="0">
      <selection activeCell="H24" sqref="H24"/>
    </sheetView>
  </sheetViews>
  <sheetFormatPr baseColWidth="10" defaultRowHeight="15" x14ac:dyDescent="0.2"/>
  <cols>
    <col min="1" max="1" width="39.83203125" customWidth="1"/>
    <col min="2" max="2" width="13.33203125" customWidth="1"/>
    <col min="3" max="3" width="35.1640625" customWidth="1"/>
    <col min="4" max="4" width="14.33203125" customWidth="1"/>
    <col min="5" max="5" width="16.5" customWidth="1"/>
  </cols>
  <sheetData>
    <row r="1" spans="1:5" x14ac:dyDescent="0.2">
      <c r="A1" s="101"/>
      <c r="B1" s="101"/>
      <c r="C1" s="101"/>
      <c r="D1" s="101"/>
      <c r="E1" s="101"/>
    </row>
    <row r="2" spans="1:5" x14ac:dyDescent="0.2">
      <c r="A2" s="101"/>
      <c r="B2" s="101"/>
      <c r="C2" s="101"/>
      <c r="D2" s="101"/>
      <c r="E2" s="101"/>
    </row>
    <row r="3" spans="1:5" ht="47" x14ac:dyDescent="0.55000000000000004">
      <c r="A3" s="101"/>
      <c r="B3" s="101"/>
      <c r="C3" s="102" t="s">
        <v>525</v>
      </c>
      <c r="D3" s="101"/>
      <c r="E3" s="101"/>
    </row>
    <row r="4" spans="1:5" x14ac:dyDescent="0.2">
      <c r="A4" s="101"/>
      <c r="B4" s="101"/>
      <c r="C4" s="101"/>
      <c r="D4" s="101"/>
      <c r="E4" s="101"/>
    </row>
    <row r="5" spans="1:5" x14ac:dyDescent="0.2">
      <c r="A5" s="101"/>
      <c r="B5" s="101"/>
      <c r="C5" s="101"/>
      <c r="D5" s="101"/>
      <c r="E5" s="101"/>
    </row>
    <row r="6" spans="1:5" ht="21" customHeight="1" x14ac:dyDescent="0.2">
      <c r="A6" s="103" t="s">
        <v>104</v>
      </c>
      <c r="B6" s="103" t="s">
        <v>104</v>
      </c>
      <c r="C6" s="103" t="s">
        <v>104</v>
      </c>
      <c r="D6" s="103" t="s">
        <v>104</v>
      </c>
      <c r="E6" s="103" t="s">
        <v>104</v>
      </c>
    </row>
    <row r="7" spans="1:5" ht="32" customHeight="1" x14ac:dyDescent="0.3">
      <c r="A7" s="130" t="s">
        <v>526</v>
      </c>
      <c r="B7" s="131"/>
      <c r="C7" s="131"/>
      <c r="D7" s="131"/>
      <c r="E7" s="131"/>
    </row>
    <row r="8" spans="1:5" ht="24" x14ac:dyDescent="0.3">
      <c r="A8" s="104" t="s">
        <v>527</v>
      </c>
      <c r="B8" s="105" t="s">
        <v>528</v>
      </c>
      <c r="C8" s="105" t="s">
        <v>529</v>
      </c>
      <c r="D8" s="105" t="s">
        <v>530</v>
      </c>
      <c r="E8" s="105" t="s">
        <v>531</v>
      </c>
    </row>
    <row r="9" spans="1:5" ht="24" x14ac:dyDescent="0.3">
      <c r="A9" s="104" t="s">
        <v>532</v>
      </c>
      <c r="B9" s="105" t="s">
        <v>528</v>
      </c>
      <c r="C9" s="105" t="s">
        <v>529</v>
      </c>
      <c r="D9" s="105" t="s">
        <v>530</v>
      </c>
      <c r="E9" s="105" t="s">
        <v>531</v>
      </c>
    </row>
    <row r="10" spans="1:5" ht="24" x14ac:dyDescent="0.3">
      <c r="A10" s="104" t="s">
        <v>533</v>
      </c>
      <c r="B10" s="105" t="s">
        <v>528</v>
      </c>
      <c r="C10" s="105" t="s">
        <v>530</v>
      </c>
      <c r="D10" s="105" t="s">
        <v>530</v>
      </c>
      <c r="E10" s="105" t="s">
        <v>529</v>
      </c>
    </row>
    <row r="11" spans="1:5" ht="22" customHeight="1" x14ac:dyDescent="0.3">
      <c r="A11" s="130" t="s">
        <v>534</v>
      </c>
      <c r="B11" s="131"/>
      <c r="C11" s="131"/>
      <c r="D11" s="131"/>
      <c r="E11" s="131"/>
    </row>
    <row r="12" spans="1:5" ht="24" x14ac:dyDescent="0.3">
      <c r="A12" s="104" t="s">
        <v>535</v>
      </c>
      <c r="B12" s="105" t="s">
        <v>530</v>
      </c>
      <c r="C12" s="105" t="s">
        <v>528</v>
      </c>
      <c r="D12" s="105" t="s">
        <v>529</v>
      </c>
      <c r="E12" s="105" t="s">
        <v>531</v>
      </c>
    </row>
    <row r="13" spans="1:5" ht="24" x14ac:dyDescent="0.3">
      <c r="A13" s="104" t="s">
        <v>536</v>
      </c>
      <c r="B13" s="105" t="s">
        <v>530</v>
      </c>
      <c r="C13" s="105" t="s">
        <v>528</v>
      </c>
      <c r="D13" s="105" t="s">
        <v>529</v>
      </c>
      <c r="E13" s="105" t="s">
        <v>531</v>
      </c>
    </row>
    <row r="14" spans="1:5" ht="29" customHeight="1" x14ac:dyDescent="0.3">
      <c r="A14" s="130" t="s">
        <v>537</v>
      </c>
      <c r="B14" s="131"/>
      <c r="C14" s="131"/>
      <c r="D14" s="131"/>
      <c r="E14" s="131"/>
    </row>
    <row r="15" spans="1:5" ht="24" x14ac:dyDescent="0.3">
      <c r="A15" s="104" t="s">
        <v>538</v>
      </c>
      <c r="B15" s="105" t="s">
        <v>530</v>
      </c>
      <c r="C15" s="105" t="s">
        <v>529</v>
      </c>
      <c r="D15" s="105" t="s">
        <v>528</v>
      </c>
      <c r="E15" s="105" t="s">
        <v>531</v>
      </c>
    </row>
    <row r="16" spans="1:5" ht="24" x14ac:dyDescent="0.3">
      <c r="A16" s="104" t="s">
        <v>539</v>
      </c>
      <c r="B16" s="105" t="s">
        <v>530</v>
      </c>
      <c r="C16" s="105" t="s">
        <v>528</v>
      </c>
      <c r="D16" s="105" t="s">
        <v>529</v>
      </c>
      <c r="E16" s="105" t="s">
        <v>531</v>
      </c>
    </row>
    <row r="17" spans="1:5" ht="24" x14ac:dyDescent="0.3">
      <c r="A17" s="104" t="s">
        <v>540</v>
      </c>
      <c r="B17" s="105" t="s">
        <v>528</v>
      </c>
      <c r="C17" s="105" t="s">
        <v>529</v>
      </c>
      <c r="D17" s="105" t="s">
        <v>529</v>
      </c>
      <c r="E17" s="105" t="s">
        <v>531</v>
      </c>
    </row>
    <row r="18" spans="1:5" ht="23" customHeight="1" x14ac:dyDescent="0.3">
      <c r="A18" s="130" t="s">
        <v>541</v>
      </c>
      <c r="B18" s="131"/>
      <c r="C18" s="131"/>
      <c r="D18" s="131"/>
      <c r="E18" s="131"/>
    </row>
    <row r="19" spans="1:5" ht="24" x14ac:dyDescent="0.3">
      <c r="A19" s="104" t="s">
        <v>542</v>
      </c>
      <c r="B19" s="105" t="s">
        <v>530</v>
      </c>
      <c r="C19" s="105" t="s">
        <v>528</v>
      </c>
      <c r="D19" s="105" t="s">
        <v>529</v>
      </c>
      <c r="E19" s="105" t="s">
        <v>531</v>
      </c>
    </row>
    <row r="20" spans="1:5" ht="24" x14ac:dyDescent="0.3">
      <c r="A20" s="104" t="s">
        <v>160</v>
      </c>
      <c r="B20" s="105" t="s">
        <v>530</v>
      </c>
      <c r="C20" s="105" t="s">
        <v>528</v>
      </c>
      <c r="D20" s="105" t="s">
        <v>529</v>
      </c>
      <c r="E20" s="105" t="s">
        <v>531</v>
      </c>
    </row>
    <row r="21" spans="1:5" ht="23" customHeight="1" x14ac:dyDescent="0.3">
      <c r="A21" s="130" t="s">
        <v>543</v>
      </c>
      <c r="B21" s="131"/>
      <c r="C21" s="131"/>
      <c r="D21" s="131"/>
      <c r="E21" s="131"/>
    </row>
    <row r="22" spans="1:5" ht="24" x14ac:dyDescent="0.3">
      <c r="A22" s="104" t="s">
        <v>544</v>
      </c>
      <c r="B22" s="105" t="s">
        <v>530</v>
      </c>
      <c r="C22" s="105" t="s">
        <v>529</v>
      </c>
      <c r="D22" s="105" t="s">
        <v>528</v>
      </c>
      <c r="E22" s="105" t="s">
        <v>531</v>
      </c>
    </row>
    <row r="23" spans="1:5" ht="24" x14ac:dyDescent="0.3">
      <c r="A23" s="104" t="s">
        <v>545</v>
      </c>
      <c r="B23" s="105" t="s">
        <v>530</v>
      </c>
      <c r="C23" s="105" t="s">
        <v>528</v>
      </c>
      <c r="D23" s="105" t="s">
        <v>529</v>
      </c>
      <c r="E23" s="105" t="s">
        <v>531</v>
      </c>
    </row>
    <row r="24" spans="1:5" ht="24" x14ac:dyDescent="0.3">
      <c r="A24" s="104" t="s">
        <v>546</v>
      </c>
      <c r="B24" s="105" t="s">
        <v>530</v>
      </c>
      <c r="C24" s="105" t="s">
        <v>529</v>
      </c>
      <c r="D24" s="105" t="s">
        <v>528</v>
      </c>
      <c r="E24" s="105" t="s">
        <v>531</v>
      </c>
    </row>
    <row r="25" spans="1:5" ht="25" customHeight="1" x14ac:dyDescent="0.3">
      <c r="A25" s="130" t="s">
        <v>547</v>
      </c>
      <c r="B25" s="131"/>
      <c r="C25" s="131"/>
      <c r="D25" s="131"/>
      <c r="E25" s="131"/>
    </row>
    <row r="26" spans="1:5" ht="24" x14ac:dyDescent="0.3">
      <c r="A26" s="104" t="s">
        <v>548</v>
      </c>
      <c r="B26" s="105" t="s">
        <v>530</v>
      </c>
      <c r="C26" s="105" t="s">
        <v>529</v>
      </c>
      <c r="D26" s="105" t="s">
        <v>528</v>
      </c>
      <c r="E26" s="105" t="s">
        <v>531</v>
      </c>
    </row>
    <row r="27" spans="1:5" ht="24" x14ac:dyDescent="0.3">
      <c r="A27" s="104" t="s">
        <v>549</v>
      </c>
      <c r="B27" s="105" t="s">
        <v>530</v>
      </c>
      <c r="C27" s="105" t="s">
        <v>529</v>
      </c>
      <c r="D27" s="105" t="s">
        <v>528</v>
      </c>
      <c r="E27" s="105" t="s">
        <v>531</v>
      </c>
    </row>
    <row r="28" spans="1:5" ht="24" x14ac:dyDescent="0.3">
      <c r="A28" s="104" t="s">
        <v>550</v>
      </c>
      <c r="B28" s="105" t="s">
        <v>528</v>
      </c>
      <c r="C28" s="105" t="s">
        <v>529</v>
      </c>
      <c r="D28" s="105" t="s">
        <v>529</v>
      </c>
      <c r="E28" s="105" t="s">
        <v>531</v>
      </c>
    </row>
    <row r="29" spans="1:5" ht="24" x14ac:dyDescent="0.3">
      <c r="A29" s="104" t="s">
        <v>551</v>
      </c>
      <c r="B29" s="105" t="s">
        <v>528</v>
      </c>
      <c r="C29" s="105" t="s">
        <v>529</v>
      </c>
      <c r="D29" s="105" t="s">
        <v>529</v>
      </c>
      <c r="E29" s="105" t="s">
        <v>531</v>
      </c>
    </row>
  </sheetData>
  <mergeCells count="6">
    <mergeCell ref="A25:E25"/>
    <mergeCell ref="A7:E7"/>
    <mergeCell ref="A11:E11"/>
    <mergeCell ref="A14:E14"/>
    <mergeCell ref="A18:E18"/>
    <mergeCell ref="A21:E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DEB14-5615-F949-9834-B098E787692F}">
  <dimension ref="A1:E24"/>
  <sheetViews>
    <sheetView workbookViewId="0">
      <selection activeCell="C11" sqref="C11"/>
    </sheetView>
  </sheetViews>
  <sheetFormatPr baseColWidth="10" defaultRowHeight="15" x14ac:dyDescent="0.2"/>
  <cols>
    <col min="1" max="1" width="16.83203125" bestFit="1" customWidth="1"/>
    <col min="2" max="2" width="26.1640625" bestFit="1" customWidth="1"/>
    <col min="3" max="3" width="76" bestFit="1" customWidth="1"/>
    <col min="4" max="4" width="16.5" customWidth="1"/>
    <col min="5" max="5" width="26.1640625" customWidth="1"/>
  </cols>
  <sheetData>
    <row r="1" spans="1:5" x14ac:dyDescent="0.2">
      <c r="A1" s="38"/>
      <c r="B1" s="38"/>
      <c r="C1" s="38"/>
      <c r="D1" s="38"/>
      <c r="E1" s="38"/>
    </row>
    <row r="2" spans="1:5" ht="45" x14ac:dyDescent="0.45">
      <c r="A2" s="38"/>
      <c r="B2" s="38"/>
      <c r="C2" s="39" t="s">
        <v>359</v>
      </c>
      <c r="D2" s="38"/>
      <c r="E2" s="38"/>
    </row>
    <row r="3" spans="1:5" ht="45" x14ac:dyDescent="0.45">
      <c r="A3" s="38"/>
      <c r="B3" s="38"/>
      <c r="C3" s="39"/>
      <c r="D3" s="38"/>
      <c r="E3" s="38"/>
    </row>
    <row r="4" spans="1:5" ht="40" thickBot="1" x14ac:dyDescent="0.3">
      <c r="A4" s="40" t="s">
        <v>360</v>
      </c>
      <c r="B4" s="41" t="s">
        <v>361</v>
      </c>
      <c r="C4" s="41" t="s">
        <v>362</v>
      </c>
      <c r="D4" s="42" t="s">
        <v>363</v>
      </c>
      <c r="E4" s="41" t="s">
        <v>8</v>
      </c>
    </row>
    <row r="5" spans="1:5" ht="28" x14ac:dyDescent="0.2">
      <c r="A5" s="67" t="s">
        <v>364</v>
      </c>
      <c r="B5" s="67" t="s">
        <v>365</v>
      </c>
      <c r="C5" s="68" t="s">
        <v>10</v>
      </c>
      <c r="D5" s="69">
        <v>5</v>
      </c>
      <c r="E5" s="69" t="s">
        <v>14</v>
      </c>
    </row>
    <row r="6" spans="1:5" ht="28" x14ac:dyDescent="0.2">
      <c r="A6" s="67" t="s">
        <v>364</v>
      </c>
      <c r="B6" s="67" t="s">
        <v>366</v>
      </c>
      <c r="C6" s="68" t="s">
        <v>16</v>
      </c>
      <c r="D6" s="69">
        <v>3</v>
      </c>
      <c r="E6" s="69" t="s">
        <v>14</v>
      </c>
    </row>
    <row r="7" spans="1:5" ht="28" x14ac:dyDescent="0.2">
      <c r="A7" s="67" t="s">
        <v>367</v>
      </c>
      <c r="B7" s="67" t="s">
        <v>368</v>
      </c>
      <c r="C7" s="68" t="s">
        <v>405</v>
      </c>
      <c r="D7" s="69">
        <v>8</v>
      </c>
      <c r="E7" s="69" t="s">
        <v>22</v>
      </c>
    </row>
    <row r="8" spans="1:5" ht="28" x14ac:dyDescent="0.2">
      <c r="A8" s="67" t="s">
        <v>367</v>
      </c>
      <c r="B8" s="67" t="s">
        <v>369</v>
      </c>
      <c r="C8" s="68" t="s">
        <v>406</v>
      </c>
      <c r="D8" s="69">
        <v>5</v>
      </c>
      <c r="E8" s="69" t="s">
        <v>22</v>
      </c>
    </row>
    <row r="9" spans="1:5" ht="28" x14ac:dyDescent="0.2">
      <c r="A9" s="67" t="s">
        <v>370</v>
      </c>
      <c r="B9" s="67" t="s">
        <v>371</v>
      </c>
      <c r="C9" s="68" t="s">
        <v>407</v>
      </c>
      <c r="D9" s="69">
        <v>5</v>
      </c>
      <c r="E9" s="69" t="s">
        <v>22</v>
      </c>
    </row>
    <row r="10" spans="1:5" ht="27" customHeight="1" x14ac:dyDescent="0.2">
      <c r="A10" s="67" t="s">
        <v>372</v>
      </c>
      <c r="B10" s="67" t="s">
        <v>373</v>
      </c>
      <c r="C10" s="67" t="s">
        <v>20</v>
      </c>
      <c r="D10" s="69">
        <v>8</v>
      </c>
      <c r="E10" s="69" t="s">
        <v>22</v>
      </c>
    </row>
    <row r="11" spans="1:5" ht="28" x14ac:dyDescent="0.2">
      <c r="A11" s="67" t="s">
        <v>374</v>
      </c>
      <c r="B11" s="67" t="s">
        <v>375</v>
      </c>
      <c r="C11" s="68" t="s">
        <v>31</v>
      </c>
      <c r="D11" s="69">
        <v>13</v>
      </c>
      <c r="E11" s="69" t="s">
        <v>34</v>
      </c>
    </row>
    <row r="12" spans="1:5" ht="28" x14ac:dyDescent="0.2">
      <c r="A12" s="67" t="s">
        <v>374</v>
      </c>
      <c r="B12" s="67" t="s">
        <v>376</v>
      </c>
      <c r="C12" s="68" t="s">
        <v>36</v>
      </c>
      <c r="D12" s="69">
        <v>8</v>
      </c>
      <c r="E12" s="69" t="s">
        <v>34</v>
      </c>
    </row>
    <row r="13" spans="1:5" x14ac:dyDescent="0.2">
      <c r="A13" s="67" t="s">
        <v>374</v>
      </c>
      <c r="B13" s="67" t="s">
        <v>377</v>
      </c>
      <c r="C13" s="68" t="s">
        <v>408</v>
      </c>
      <c r="D13" s="69">
        <v>8</v>
      </c>
      <c r="E13" s="69" t="s">
        <v>34</v>
      </c>
    </row>
    <row r="14" spans="1:5" ht="28" x14ac:dyDescent="0.2">
      <c r="A14" s="67" t="s">
        <v>378</v>
      </c>
      <c r="B14" s="67" t="s">
        <v>379</v>
      </c>
      <c r="C14" s="68" t="s">
        <v>42</v>
      </c>
      <c r="D14" s="69">
        <v>8</v>
      </c>
      <c r="E14" s="69" t="s">
        <v>44</v>
      </c>
    </row>
    <row r="15" spans="1:5" ht="28" x14ac:dyDescent="0.2">
      <c r="A15" s="67" t="s">
        <v>378</v>
      </c>
      <c r="B15" s="67" t="s">
        <v>380</v>
      </c>
      <c r="C15" s="68" t="s">
        <v>381</v>
      </c>
      <c r="D15" s="69">
        <v>13</v>
      </c>
      <c r="E15" s="69" t="s">
        <v>44</v>
      </c>
    </row>
    <row r="16" spans="1:5" x14ac:dyDescent="0.2">
      <c r="A16" s="67" t="s">
        <v>382</v>
      </c>
      <c r="B16" s="67" t="s">
        <v>383</v>
      </c>
      <c r="C16" s="67" t="s">
        <v>384</v>
      </c>
      <c r="D16" s="69">
        <v>13</v>
      </c>
      <c r="E16" s="69" t="s">
        <v>44</v>
      </c>
    </row>
    <row r="17" spans="1:5" x14ac:dyDescent="0.2">
      <c r="A17" s="67" t="s">
        <v>382</v>
      </c>
      <c r="B17" s="67" t="s">
        <v>385</v>
      </c>
      <c r="C17" s="67" t="s">
        <v>386</v>
      </c>
      <c r="D17" s="69">
        <v>21</v>
      </c>
      <c r="E17" s="69" t="s">
        <v>44</v>
      </c>
    </row>
    <row r="18" spans="1:5" x14ac:dyDescent="0.2">
      <c r="A18" s="67" t="s">
        <v>382</v>
      </c>
      <c r="B18" s="67" t="s">
        <v>387</v>
      </c>
      <c r="C18" s="67" t="s">
        <v>388</v>
      </c>
      <c r="D18" s="69">
        <v>5</v>
      </c>
      <c r="E18" s="69" t="s">
        <v>44</v>
      </c>
    </row>
    <row r="19" spans="1:5" x14ac:dyDescent="0.2">
      <c r="A19" s="67" t="s">
        <v>389</v>
      </c>
      <c r="B19" s="67" t="s">
        <v>390</v>
      </c>
      <c r="C19" s="67" t="s">
        <v>61</v>
      </c>
      <c r="D19" s="69">
        <v>21</v>
      </c>
      <c r="E19" s="69" t="s">
        <v>63</v>
      </c>
    </row>
    <row r="20" spans="1:5" x14ac:dyDescent="0.2">
      <c r="A20" s="67" t="s">
        <v>389</v>
      </c>
      <c r="B20" s="67" t="s">
        <v>391</v>
      </c>
      <c r="C20" s="67" t="s">
        <v>392</v>
      </c>
      <c r="D20" s="69">
        <v>13</v>
      </c>
      <c r="E20" s="69" t="s">
        <v>63</v>
      </c>
    </row>
    <row r="21" spans="1:5" x14ac:dyDescent="0.2">
      <c r="A21" s="67" t="s">
        <v>393</v>
      </c>
      <c r="B21" s="67" t="s">
        <v>394</v>
      </c>
      <c r="C21" s="67" t="s">
        <v>395</v>
      </c>
      <c r="D21" s="69">
        <v>13</v>
      </c>
      <c r="E21" s="69" t="s">
        <v>63</v>
      </c>
    </row>
    <row r="22" spans="1:5" x14ac:dyDescent="0.2">
      <c r="A22" s="67" t="s">
        <v>396</v>
      </c>
      <c r="B22" s="67" t="s">
        <v>397</v>
      </c>
      <c r="C22" s="67" t="s">
        <v>398</v>
      </c>
      <c r="D22" s="69">
        <v>8</v>
      </c>
      <c r="E22" s="69" t="s">
        <v>63</v>
      </c>
    </row>
    <row r="23" spans="1:5" x14ac:dyDescent="0.2">
      <c r="A23" s="67" t="s">
        <v>396</v>
      </c>
      <c r="B23" s="67" t="s">
        <v>399</v>
      </c>
      <c r="C23" s="67" t="s">
        <v>74</v>
      </c>
      <c r="D23" s="69">
        <v>13</v>
      </c>
      <c r="E23" s="69" t="s">
        <v>63</v>
      </c>
    </row>
    <row r="24" spans="1:5" x14ac:dyDescent="0.2">
      <c r="A24" s="67" t="s">
        <v>400</v>
      </c>
      <c r="B24" s="67" t="s">
        <v>401</v>
      </c>
      <c r="C24" s="67" t="s">
        <v>402</v>
      </c>
      <c r="D24" s="69">
        <v>13</v>
      </c>
      <c r="E24" s="69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workbookViewId="0">
      <selection sqref="A1:H1"/>
    </sheetView>
  </sheetViews>
  <sheetFormatPr baseColWidth="10" defaultColWidth="8.83203125" defaultRowHeight="15" x14ac:dyDescent="0.2"/>
  <cols>
    <col min="1" max="1" width="10" customWidth="1"/>
    <col min="2" max="2" width="52" customWidth="1"/>
    <col min="3" max="3" width="16" customWidth="1"/>
    <col min="4" max="4" width="9" customWidth="1"/>
    <col min="5" max="8" width="12" customWidth="1"/>
  </cols>
  <sheetData>
    <row r="1" spans="1:8" ht="32" customHeight="1" x14ac:dyDescent="0.2">
      <c r="A1" s="127" t="s">
        <v>100</v>
      </c>
      <c r="B1" s="126"/>
      <c r="C1" s="126"/>
      <c r="D1" s="126"/>
      <c r="E1" s="126"/>
      <c r="F1" s="126"/>
      <c r="G1" s="126"/>
      <c r="H1" s="126"/>
    </row>
    <row r="2" spans="1:8" ht="22" customHeight="1" x14ac:dyDescent="0.2">
      <c r="A2" s="135" t="s">
        <v>101</v>
      </c>
      <c r="B2" s="126"/>
      <c r="C2" s="126"/>
      <c r="D2" s="126"/>
      <c r="E2" s="126"/>
      <c r="F2" s="126"/>
      <c r="G2" s="126"/>
      <c r="H2" s="126"/>
    </row>
    <row r="3" spans="1:8" ht="30" customHeight="1" x14ac:dyDescent="0.2">
      <c r="A3" s="143" t="s">
        <v>102</v>
      </c>
      <c r="B3" s="126"/>
      <c r="C3" s="126"/>
      <c r="D3" s="126"/>
      <c r="E3" s="126"/>
      <c r="F3" s="126"/>
      <c r="G3" s="126"/>
      <c r="H3" s="126"/>
    </row>
    <row r="4" spans="1:8" ht="18" customHeight="1" x14ac:dyDescent="0.2">
      <c r="A4" s="15" t="s">
        <v>103</v>
      </c>
      <c r="B4" s="15" t="s">
        <v>104</v>
      </c>
      <c r="C4" s="15" t="s">
        <v>105</v>
      </c>
      <c r="D4" s="15" t="s">
        <v>106</v>
      </c>
      <c r="E4" s="15" t="s">
        <v>107</v>
      </c>
      <c r="F4" s="133" t="s">
        <v>108</v>
      </c>
      <c r="G4" s="126"/>
      <c r="H4" s="126"/>
    </row>
    <row r="5" spans="1:8" ht="28" customHeight="1" x14ac:dyDescent="0.2">
      <c r="A5" s="2" t="s">
        <v>9</v>
      </c>
      <c r="B5" s="3" t="s">
        <v>109</v>
      </c>
      <c r="C5" s="5" t="s">
        <v>13</v>
      </c>
      <c r="D5" s="5">
        <v>3</v>
      </c>
      <c r="E5" s="16" t="s">
        <v>110</v>
      </c>
      <c r="F5" s="145">
        <v>6</v>
      </c>
      <c r="G5" s="126"/>
      <c r="H5" s="126"/>
    </row>
    <row r="6" spans="1:8" ht="28" customHeight="1" x14ac:dyDescent="0.2">
      <c r="A6" s="7" t="s">
        <v>15</v>
      </c>
      <c r="B6" s="8" t="s">
        <v>111</v>
      </c>
      <c r="C6" s="9" t="s">
        <v>18</v>
      </c>
      <c r="D6" s="9">
        <v>3</v>
      </c>
      <c r="E6" s="16" t="s">
        <v>110</v>
      </c>
      <c r="F6" s="126"/>
      <c r="G6" s="126"/>
      <c r="H6" s="126"/>
    </row>
    <row r="7" spans="1:8" ht="36" customHeight="1" x14ac:dyDescent="0.2">
      <c r="A7" s="134" t="s">
        <v>112</v>
      </c>
      <c r="B7" s="126"/>
      <c r="C7" s="126"/>
      <c r="D7" s="126"/>
      <c r="E7" s="126"/>
      <c r="F7" s="126"/>
      <c r="G7" s="126"/>
      <c r="H7" s="126"/>
    </row>
    <row r="9" spans="1:8" ht="22" customHeight="1" x14ac:dyDescent="0.2">
      <c r="A9" s="135" t="s">
        <v>113</v>
      </c>
      <c r="B9" s="126"/>
      <c r="C9" s="126"/>
      <c r="D9" s="126"/>
      <c r="E9" s="126"/>
      <c r="F9" s="126"/>
      <c r="G9" s="126"/>
      <c r="H9" s="126"/>
    </row>
    <row r="10" spans="1:8" ht="30" customHeight="1" x14ac:dyDescent="0.2">
      <c r="A10" s="148" t="s">
        <v>114</v>
      </c>
      <c r="B10" s="126"/>
      <c r="C10" s="126"/>
      <c r="D10" s="126"/>
      <c r="E10" s="126"/>
      <c r="F10" s="126"/>
      <c r="G10" s="126"/>
      <c r="H10" s="126"/>
    </row>
    <row r="11" spans="1:8" ht="18" customHeight="1" x14ac:dyDescent="0.2">
      <c r="A11" s="15" t="s">
        <v>103</v>
      </c>
      <c r="B11" s="15" t="s">
        <v>104</v>
      </c>
      <c r="C11" s="15" t="s">
        <v>105</v>
      </c>
      <c r="D11" s="15" t="s">
        <v>106</v>
      </c>
      <c r="E11" s="15" t="s">
        <v>107</v>
      </c>
      <c r="F11" s="133" t="s">
        <v>108</v>
      </c>
      <c r="G11" s="126"/>
      <c r="H11" s="126"/>
    </row>
    <row r="12" spans="1:8" ht="28" customHeight="1" x14ac:dyDescent="0.2">
      <c r="A12" s="2" t="s">
        <v>19</v>
      </c>
      <c r="B12" s="3" t="s">
        <v>115</v>
      </c>
      <c r="C12" s="5" t="s">
        <v>18</v>
      </c>
      <c r="D12" s="5">
        <v>8</v>
      </c>
      <c r="E12" s="16" t="s">
        <v>110</v>
      </c>
      <c r="F12" s="141">
        <v>21</v>
      </c>
      <c r="G12" s="126"/>
      <c r="H12" s="126"/>
    </row>
    <row r="13" spans="1:8" ht="28" customHeight="1" x14ac:dyDescent="0.2">
      <c r="A13" s="7" t="s">
        <v>23</v>
      </c>
      <c r="B13" s="8" t="s">
        <v>116</v>
      </c>
      <c r="C13" s="9" t="s">
        <v>26</v>
      </c>
      <c r="D13" s="9">
        <v>8</v>
      </c>
      <c r="E13" s="16" t="s">
        <v>110</v>
      </c>
      <c r="F13" s="126"/>
      <c r="G13" s="126"/>
      <c r="H13" s="126"/>
    </row>
    <row r="14" spans="1:8" ht="28" customHeight="1" x14ac:dyDescent="0.2">
      <c r="A14" s="2" t="s">
        <v>27</v>
      </c>
      <c r="B14" s="3" t="s">
        <v>117</v>
      </c>
      <c r="C14" s="5" t="s">
        <v>26</v>
      </c>
      <c r="D14" s="5">
        <v>5</v>
      </c>
      <c r="E14" s="16" t="s">
        <v>110</v>
      </c>
      <c r="F14" s="126"/>
      <c r="G14" s="126"/>
      <c r="H14" s="126"/>
    </row>
    <row r="15" spans="1:8" ht="36" customHeight="1" x14ac:dyDescent="0.2">
      <c r="A15" s="140" t="s">
        <v>118</v>
      </c>
      <c r="B15" s="126"/>
      <c r="C15" s="126"/>
      <c r="D15" s="126"/>
      <c r="E15" s="126"/>
      <c r="F15" s="126"/>
      <c r="G15" s="126"/>
      <c r="H15" s="126"/>
    </row>
    <row r="17" spans="1:8" ht="22" customHeight="1" x14ac:dyDescent="0.2">
      <c r="A17" s="135" t="s">
        <v>119</v>
      </c>
      <c r="B17" s="126"/>
      <c r="C17" s="126"/>
      <c r="D17" s="126"/>
      <c r="E17" s="126"/>
      <c r="F17" s="126"/>
      <c r="G17" s="126"/>
      <c r="H17" s="126"/>
    </row>
    <row r="18" spans="1:8" ht="30" customHeight="1" x14ac:dyDescent="0.2">
      <c r="A18" s="138" t="s">
        <v>120</v>
      </c>
      <c r="B18" s="126"/>
      <c r="C18" s="126"/>
      <c r="D18" s="126"/>
      <c r="E18" s="126"/>
      <c r="F18" s="126"/>
      <c r="G18" s="126"/>
      <c r="H18" s="126"/>
    </row>
    <row r="19" spans="1:8" ht="18" customHeight="1" x14ac:dyDescent="0.2">
      <c r="A19" s="15" t="s">
        <v>103</v>
      </c>
      <c r="B19" s="15" t="s">
        <v>104</v>
      </c>
      <c r="C19" s="15" t="s">
        <v>105</v>
      </c>
      <c r="D19" s="15" t="s">
        <v>106</v>
      </c>
      <c r="E19" s="15" t="s">
        <v>107</v>
      </c>
      <c r="F19" s="133" t="s">
        <v>108</v>
      </c>
      <c r="G19" s="126"/>
      <c r="H19" s="126"/>
    </row>
    <row r="20" spans="1:8" ht="28" customHeight="1" x14ac:dyDescent="0.2">
      <c r="A20" s="2" t="s">
        <v>30</v>
      </c>
      <c r="B20" s="3" t="s">
        <v>121</v>
      </c>
      <c r="C20" s="5" t="s">
        <v>33</v>
      </c>
      <c r="D20" s="5">
        <v>13</v>
      </c>
      <c r="E20" s="16" t="s">
        <v>110</v>
      </c>
      <c r="F20" s="151">
        <v>29</v>
      </c>
      <c r="G20" s="126"/>
      <c r="H20" s="126"/>
    </row>
    <row r="21" spans="1:8" ht="28" customHeight="1" x14ac:dyDescent="0.2">
      <c r="A21" s="7" t="s">
        <v>35</v>
      </c>
      <c r="B21" s="8" t="s">
        <v>122</v>
      </c>
      <c r="C21" s="9" t="s">
        <v>33</v>
      </c>
      <c r="D21" s="9">
        <v>8</v>
      </c>
      <c r="E21" s="16" t="s">
        <v>110</v>
      </c>
      <c r="F21" s="126"/>
      <c r="G21" s="126"/>
      <c r="H21" s="126"/>
    </row>
    <row r="22" spans="1:8" ht="28" customHeight="1" x14ac:dyDescent="0.2">
      <c r="A22" s="2" t="s">
        <v>38</v>
      </c>
      <c r="B22" s="3" t="s">
        <v>123</v>
      </c>
      <c r="C22" s="5" t="s">
        <v>26</v>
      </c>
      <c r="D22" s="5">
        <v>8</v>
      </c>
      <c r="E22" s="16" t="s">
        <v>110</v>
      </c>
      <c r="F22" s="126"/>
      <c r="G22" s="126"/>
      <c r="H22" s="126"/>
    </row>
    <row r="23" spans="1:8" ht="36" customHeight="1" x14ac:dyDescent="0.2">
      <c r="A23" s="146" t="s">
        <v>124</v>
      </c>
      <c r="B23" s="126"/>
      <c r="C23" s="126"/>
      <c r="D23" s="126"/>
      <c r="E23" s="126"/>
      <c r="F23" s="126"/>
      <c r="G23" s="126"/>
      <c r="H23" s="126"/>
    </row>
    <row r="25" spans="1:8" ht="22" customHeight="1" x14ac:dyDescent="0.2">
      <c r="A25" s="135" t="s">
        <v>125</v>
      </c>
      <c r="B25" s="126"/>
      <c r="C25" s="126"/>
      <c r="D25" s="126"/>
      <c r="E25" s="126"/>
      <c r="F25" s="126"/>
      <c r="G25" s="126"/>
      <c r="H25" s="126"/>
    </row>
    <row r="26" spans="1:8" ht="30" customHeight="1" x14ac:dyDescent="0.2">
      <c r="A26" s="144" t="s">
        <v>126</v>
      </c>
      <c r="B26" s="126"/>
      <c r="C26" s="126"/>
      <c r="D26" s="126"/>
      <c r="E26" s="126"/>
      <c r="F26" s="126"/>
      <c r="G26" s="126"/>
      <c r="H26" s="126"/>
    </row>
    <row r="27" spans="1:8" ht="18" customHeight="1" x14ac:dyDescent="0.2">
      <c r="A27" s="15" t="s">
        <v>103</v>
      </c>
      <c r="B27" s="15" t="s">
        <v>104</v>
      </c>
      <c r="C27" s="15" t="s">
        <v>105</v>
      </c>
      <c r="D27" s="15" t="s">
        <v>106</v>
      </c>
      <c r="E27" s="15" t="s">
        <v>107</v>
      </c>
      <c r="F27" s="133" t="s">
        <v>108</v>
      </c>
      <c r="G27" s="126"/>
      <c r="H27" s="126"/>
    </row>
    <row r="28" spans="1:8" ht="28" customHeight="1" x14ac:dyDescent="0.2">
      <c r="A28" s="2" t="s">
        <v>41</v>
      </c>
      <c r="B28" s="3" t="s">
        <v>127</v>
      </c>
      <c r="C28" s="5" t="s">
        <v>26</v>
      </c>
      <c r="D28" s="5">
        <v>8</v>
      </c>
      <c r="E28" s="16" t="s">
        <v>110</v>
      </c>
      <c r="F28" s="139">
        <v>65</v>
      </c>
      <c r="G28" s="126"/>
      <c r="H28" s="126"/>
    </row>
    <row r="29" spans="1:8" ht="28" customHeight="1" x14ac:dyDescent="0.2">
      <c r="A29" s="7" t="s">
        <v>45</v>
      </c>
      <c r="B29" s="8" t="s">
        <v>128</v>
      </c>
      <c r="C29" s="9" t="s">
        <v>26</v>
      </c>
      <c r="D29" s="9">
        <v>13</v>
      </c>
      <c r="E29" s="16" t="s">
        <v>110</v>
      </c>
      <c r="F29" s="126"/>
      <c r="G29" s="126"/>
      <c r="H29" s="126"/>
    </row>
    <row r="30" spans="1:8" ht="28" customHeight="1" x14ac:dyDescent="0.2">
      <c r="A30" s="2" t="s">
        <v>48</v>
      </c>
      <c r="B30" s="3" t="s">
        <v>129</v>
      </c>
      <c r="C30" s="5" t="s">
        <v>13</v>
      </c>
      <c r="D30" s="5">
        <v>5</v>
      </c>
      <c r="E30" s="16" t="s">
        <v>110</v>
      </c>
      <c r="F30" s="126"/>
      <c r="G30" s="126"/>
      <c r="H30" s="126"/>
    </row>
    <row r="31" spans="1:8" ht="28" customHeight="1" x14ac:dyDescent="0.2">
      <c r="A31" s="7" t="s">
        <v>51</v>
      </c>
      <c r="B31" s="8" t="s">
        <v>130</v>
      </c>
      <c r="C31" s="9" t="s">
        <v>13</v>
      </c>
      <c r="D31" s="9">
        <v>13</v>
      </c>
      <c r="E31" s="16" t="s">
        <v>110</v>
      </c>
      <c r="F31" s="126"/>
      <c r="G31" s="126"/>
      <c r="H31" s="126"/>
    </row>
    <row r="32" spans="1:8" ht="28" customHeight="1" x14ac:dyDescent="0.2">
      <c r="A32" s="2" t="s">
        <v>54</v>
      </c>
      <c r="B32" s="3" t="s">
        <v>131</v>
      </c>
      <c r="C32" s="5" t="s">
        <v>13</v>
      </c>
      <c r="D32" s="5">
        <v>21</v>
      </c>
      <c r="E32" s="16" t="s">
        <v>110</v>
      </c>
      <c r="F32" s="126"/>
      <c r="G32" s="126"/>
      <c r="H32" s="126"/>
    </row>
    <row r="33" spans="1:8" ht="28" customHeight="1" x14ac:dyDescent="0.2">
      <c r="A33" s="7" t="s">
        <v>57</v>
      </c>
      <c r="B33" s="8" t="s">
        <v>132</v>
      </c>
      <c r="C33" s="9" t="s">
        <v>13</v>
      </c>
      <c r="D33" s="9">
        <v>5</v>
      </c>
      <c r="E33" s="16" t="s">
        <v>110</v>
      </c>
      <c r="F33" s="126"/>
      <c r="G33" s="126"/>
      <c r="H33" s="126"/>
    </row>
    <row r="34" spans="1:8" ht="36" customHeight="1" x14ac:dyDescent="0.2">
      <c r="A34" s="149" t="s">
        <v>133</v>
      </c>
      <c r="B34" s="126"/>
      <c r="C34" s="126"/>
      <c r="D34" s="126"/>
      <c r="E34" s="126"/>
      <c r="F34" s="126"/>
      <c r="G34" s="126"/>
      <c r="H34" s="126"/>
    </row>
    <row r="36" spans="1:8" ht="22" customHeight="1" x14ac:dyDescent="0.2">
      <c r="A36" s="135" t="s">
        <v>134</v>
      </c>
      <c r="B36" s="126"/>
      <c r="C36" s="126"/>
      <c r="D36" s="126"/>
      <c r="E36" s="126"/>
      <c r="F36" s="126"/>
      <c r="G36" s="126"/>
      <c r="H36" s="126"/>
    </row>
    <row r="37" spans="1:8" ht="30" customHeight="1" x14ac:dyDescent="0.2">
      <c r="A37" s="136" t="s">
        <v>135</v>
      </c>
      <c r="B37" s="126"/>
      <c r="C37" s="126"/>
      <c r="D37" s="126"/>
      <c r="E37" s="126"/>
      <c r="F37" s="126"/>
      <c r="G37" s="126"/>
      <c r="H37" s="126"/>
    </row>
    <row r="38" spans="1:8" ht="18" customHeight="1" x14ac:dyDescent="0.2">
      <c r="A38" s="15" t="s">
        <v>103</v>
      </c>
      <c r="B38" s="15" t="s">
        <v>104</v>
      </c>
      <c r="C38" s="15" t="s">
        <v>105</v>
      </c>
      <c r="D38" s="15" t="s">
        <v>106</v>
      </c>
      <c r="E38" s="15" t="s">
        <v>107</v>
      </c>
      <c r="F38" s="133" t="s">
        <v>108</v>
      </c>
      <c r="G38" s="126"/>
      <c r="H38" s="126"/>
    </row>
    <row r="39" spans="1:8" ht="28" customHeight="1" x14ac:dyDescent="0.2">
      <c r="A39" s="2" t="s">
        <v>60</v>
      </c>
      <c r="B39" s="3" t="s">
        <v>136</v>
      </c>
      <c r="C39" s="5" t="s">
        <v>13</v>
      </c>
      <c r="D39" s="5">
        <v>21</v>
      </c>
      <c r="E39" s="16" t="s">
        <v>110</v>
      </c>
      <c r="F39" s="147">
        <v>81</v>
      </c>
      <c r="G39" s="126"/>
      <c r="H39" s="126"/>
    </row>
    <row r="40" spans="1:8" ht="28" customHeight="1" x14ac:dyDescent="0.2">
      <c r="A40" s="7" t="s">
        <v>64</v>
      </c>
      <c r="B40" s="8" t="s">
        <v>137</v>
      </c>
      <c r="C40" s="9" t="s">
        <v>13</v>
      </c>
      <c r="D40" s="9">
        <v>8</v>
      </c>
      <c r="E40" s="16" t="s">
        <v>110</v>
      </c>
      <c r="F40" s="126"/>
      <c r="G40" s="126"/>
      <c r="H40" s="126"/>
    </row>
    <row r="41" spans="1:8" ht="28" customHeight="1" x14ac:dyDescent="0.2">
      <c r="A41" s="2" t="s">
        <v>67</v>
      </c>
      <c r="B41" s="3" t="s">
        <v>138</v>
      </c>
      <c r="C41" s="5" t="s">
        <v>33</v>
      </c>
      <c r="D41" s="5">
        <v>13</v>
      </c>
      <c r="E41" s="16" t="s">
        <v>110</v>
      </c>
      <c r="F41" s="126"/>
      <c r="G41" s="126"/>
      <c r="H41" s="126"/>
    </row>
    <row r="42" spans="1:8" ht="28" customHeight="1" x14ac:dyDescent="0.2">
      <c r="A42" s="7" t="s">
        <v>70</v>
      </c>
      <c r="B42" s="8" t="s">
        <v>139</v>
      </c>
      <c r="C42" s="9" t="s">
        <v>33</v>
      </c>
      <c r="D42" s="9">
        <v>5</v>
      </c>
      <c r="E42" s="16" t="s">
        <v>110</v>
      </c>
      <c r="F42" s="126"/>
      <c r="G42" s="126"/>
      <c r="H42" s="126"/>
    </row>
    <row r="43" spans="1:8" ht="28" customHeight="1" x14ac:dyDescent="0.2">
      <c r="A43" s="2" t="s">
        <v>73</v>
      </c>
      <c r="B43" s="3" t="s">
        <v>140</v>
      </c>
      <c r="C43" s="5" t="s">
        <v>33</v>
      </c>
      <c r="D43" s="5">
        <v>8</v>
      </c>
      <c r="E43" s="16" t="s">
        <v>110</v>
      </c>
      <c r="F43" s="126"/>
      <c r="G43" s="126"/>
      <c r="H43" s="126"/>
    </row>
    <row r="44" spans="1:8" ht="28" customHeight="1" x14ac:dyDescent="0.2">
      <c r="A44" s="7" t="s">
        <v>76</v>
      </c>
      <c r="B44" s="8" t="s">
        <v>141</v>
      </c>
      <c r="C44" s="9" t="s">
        <v>33</v>
      </c>
      <c r="D44" s="9">
        <v>13</v>
      </c>
      <c r="E44" s="16" t="s">
        <v>110</v>
      </c>
      <c r="F44" s="126"/>
      <c r="G44" s="126"/>
      <c r="H44" s="126"/>
    </row>
    <row r="45" spans="1:8" ht="28" customHeight="1" x14ac:dyDescent="0.2">
      <c r="A45" s="2" t="s">
        <v>79</v>
      </c>
      <c r="B45" s="3" t="s">
        <v>142</v>
      </c>
      <c r="C45" s="5" t="s">
        <v>13</v>
      </c>
      <c r="D45" s="5">
        <v>13</v>
      </c>
      <c r="E45" s="16" t="s">
        <v>110</v>
      </c>
      <c r="F45" s="126"/>
      <c r="G45" s="126"/>
      <c r="H45" s="126"/>
    </row>
    <row r="46" spans="1:8" ht="36" customHeight="1" x14ac:dyDescent="0.2">
      <c r="A46" s="137" t="s">
        <v>143</v>
      </c>
      <c r="B46" s="126"/>
      <c r="C46" s="126"/>
      <c r="D46" s="126"/>
      <c r="E46" s="126"/>
      <c r="F46" s="126"/>
      <c r="G46" s="126"/>
      <c r="H46" s="126"/>
    </row>
    <row r="48" spans="1:8" ht="22" customHeight="1" x14ac:dyDescent="0.2">
      <c r="A48" s="135" t="s">
        <v>144</v>
      </c>
      <c r="B48" s="126"/>
      <c r="C48" s="126"/>
      <c r="D48" s="126"/>
      <c r="E48" s="126"/>
      <c r="F48" s="126"/>
      <c r="G48" s="126"/>
      <c r="H48" s="126"/>
    </row>
    <row r="49" spans="1:8" ht="30" customHeight="1" x14ac:dyDescent="0.2">
      <c r="A49" s="150" t="s">
        <v>145</v>
      </c>
      <c r="B49" s="126"/>
      <c r="C49" s="126"/>
      <c r="D49" s="126"/>
      <c r="E49" s="126"/>
      <c r="F49" s="126"/>
      <c r="G49" s="126"/>
      <c r="H49" s="126"/>
    </row>
    <row r="50" spans="1:8" ht="18" customHeight="1" x14ac:dyDescent="0.2">
      <c r="A50" s="15" t="s">
        <v>103</v>
      </c>
      <c r="B50" s="15" t="s">
        <v>104</v>
      </c>
      <c r="C50" s="15" t="s">
        <v>105</v>
      </c>
      <c r="D50" s="15" t="s">
        <v>106</v>
      </c>
      <c r="E50" s="15" t="s">
        <v>107</v>
      </c>
      <c r="F50" s="133" t="s">
        <v>108</v>
      </c>
      <c r="G50" s="126"/>
      <c r="H50" s="126"/>
    </row>
    <row r="51" spans="1:8" ht="28" customHeight="1" x14ac:dyDescent="0.2">
      <c r="A51" s="2" t="s">
        <v>82</v>
      </c>
      <c r="B51" s="3" t="s">
        <v>146</v>
      </c>
      <c r="C51" s="5" t="s">
        <v>13</v>
      </c>
      <c r="D51" s="5">
        <v>13</v>
      </c>
      <c r="E51" s="16" t="s">
        <v>110</v>
      </c>
      <c r="F51" s="132">
        <v>34</v>
      </c>
      <c r="G51" s="126"/>
      <c r="H51" s="126"/>
    </row>
    <row r="52" spans="1:8" ht="28" customHeight="1" x14ac:dyDescent="0.2">
      <c r="A52" s="7" t="s">
        <v>86</v>
      </c>
      <c r="B52" s="8" t="s">
        <v>147</v>
      </c>
      <c r="C52" s="9" t="s">
        <v>13</v>
      </c>
      <c r="D52" s="9">
        <v>5</v>
      </c>
      <c r="E52" s="16" t="s">
        <v>110</v>
      </c>
      <c r="F52" s="126"/>
      <c r="G52" s="126"/>
      <c r="H52" s="126"/>
    </row>
    <row r="53" spans="1:8" ht="28" customHeight="1" x14ac:dyDescent="0.2">
      <c r="A53" s="2" t="s">
        <v>90</v>
      </c>
      <c r="B53" s="3" t="s">
        <v>148</v>
      </c>
      <c r="C53" s="5" t="s">
        <v>13</v>
      </c>
      <c r="D53" s="5">
        <v>3</v>
      </c>
      <c r="E53" s="16" t="s">
        <v>110</v>
      </c>
      <c r="F53" s="126"/>
      <c r="G53" s="126"/>
      <c r="H53" s="126"/>
    </row>
    <row r="54" spans="1:8" ht="28" customHeight="1" x14ac:dyDescent="0.2">
      <c r="A54" s="7" t="s">
        <v>93</v>
      </c>
      <c r="B54" s="8" t="s">
        <v>149</v>
      </c>
      <c r="C54" s="9" t="s">
        <v>18</v>
      </c>
      <c r="D54" s="9">
        <v>5</v>
      </c>
      <c r="E54" s="16" t="s">
        <v>110</v>
      </c>
      <c r="F54" s="126"/>
      <c r="G54" s="126"/>
      <c r="H54" s="126"/>
    </row>
    <row r="55" spans="1:8" ht="28" customHeight="1" x14ac:dyDescent="0.2">
      <c r="A55" s="2" t="s">
        <v>96</v>
      </c>
      <c r="B55" s="3" t="s">
        <v>150</v>
      </c>
      <c r="C55" s="5" t="s">
        <v>18</v>
      </c>
      <c r="D55" s="5">
        <v>8</v>
      </c>
      <c r="E55" s="17" t="s">
        <v>151</v>
      </c>
      <c r="F55" s="126"/>
      <c r="G55" s="126"/>
      <c r="H55" s="126"/>
    </row>
    <row r="56" spans="1:8" ht="36" customHeight="1" x14ac:dyDescent="0.2">
      <c r="A56" s="142" t="s">
        <v>152</v>
      </c>
      <c r="B56" s="126"/>
      <c r="C56" s="126"/>
      <c r="D56" s="126"/>
      <c r="E56" s="126"/>
      <c r="F56" s="126"/>
      <c r="G56" s="126"/>
      <c r="H56" s="126"/>
    </row>
  </sheetData>
  <mergeCells count="31">
    <mergeCell ref="A56:H56"/>
    <mergeCell ref="A3:H3"/>
    <mergeCell ref="A26:H26"/>
    <mergeCell ref="F5:H6"/>
    <mergeCell ref="A2:H2"/>
    <mergeCell ref="F4:H4"/>
    <mergeCell ref="A23:H23"/>
    <mergeCell ref="F11:H11"/>
    <mergeCell ref="A17:H17"/>
    <mergeCell ref="F19:H19"/>
    <mergeCell ref="F39:H45"/>
    <mergeCell ref="A10:H10"/>
    <mergeCell ref="A34:H34"/>
    <mergeCell ref="A49:H49"/>
    <mergeCell ref="F20:H22"/>
    <mergeCell ref="A1:H1"/>
    <mergeCell ref="F51:H55"/>
    <mergeCell ref="F38:H38"/>
    <mergeCell ref="A7:H7"/>
    <mergeCell ref="A25:H25"/>
    <mergeCell ref="F27:H27"/>
    <mergeCell ref="A37:H37"/>
    <mergeCell ref="A46:H46"/>
    <mergeCell ref="A18:H18"/>
    <mergeCell ref="A9:H9"/>
    <mergeCell ref="A48:H48"/>
    <mergeCell ref="F28:H33"/>
    <mergeCell ref="A15:H15"/>
    <mergeCell ref="F50:H50"/>
    <mergeCell ref="A36:H36"/>
    <mergeCell ref="F12:H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CB25-FB72-E940-BB8A-FF9D499E023F}">
  <dimension ref="A1:AN88"/>
  <sheetViews>
    <sheetView zoomScale="76" zoomScaleNormal="100" workbookViewId="0">
      <selection activeCell="S36" sqref="S36"/>
    </sheetView>
  </sheetViews>
  <sheetFormatPr baseColWidth="10" defaultRowHeight="14" x14ac:dyDescent="0.2"/>
  <cols>
    <col min="1" max="1" width="5.83203125" style="70" customWidth="1"/>
    <col min="2" max="2" width="10.83203125" style="70"/>
    <col min="3" max="3" width="61.33203125" style="70" bestFit="1" customWidth="1"/>
    <col min="4" max="4" width="15" style="70" customWidth="1"/>
    <col min="5" max="5" width="12.33203125" style="70" customWidth="1"/>
    <col min="6" max="7" width="10.83203125" style="70"/>
    <col min="8" max="8" width="14.5" style="70" bestFit="1" customWidth="1"/>
    <col min="9" max="35" width="4.33203125" style="70" customWidth="1"/>
    <col min="36" max="36" width="4.6640625" style="70" customWidth="1"/>
    <col min="37" max="75" width="4.33203125" style="70" customWidth="1"/>
    <col min="76" max="16384" width="10.83203125" style="70"/>
  </cols>
  <sheetData>
    <row r="1" spans="1:40" ht="16" x14ac:dyDescent="0.2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95"/>
      <c r="AJ1" s="94"/>
      <c r="AK1" s="94"/>
      <c r="AL1" s="94"/>
      <c r="AM1" s="94"/>
      <c r="AN1" s="94"/>
    </row>
    <row r="2" spans="1:40" ht="45" x14ac:dyDescent="0.45">
      <c r="A2" s="95"/>
      <c r="B2" s="99" t="s">
        <v>524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4"/>
      <c r="AK2" s="94"/>
      <c r="AL2" s="94"/>
      <c r="AM2" s="94"/>
      <c r="AN2" s="94"/>
    </row>
    <row r="3" spans="1:40" ht="16" x14ac:dyDescent="0.2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4"/>
      <c r="AK3" s="94"/>
      <c r="AL3" s="94"/>
      <c r="AM3" s="94"/>
      <c r="AN3" s="94"/>
    </row>
    <row r="4" spans="1:40" ht="16" x14ac:dyDescent="0.2">
      <c r="A4" s="95"/>
      <c r="B4" s="98" t="s">
        <v>523</v>
      </c>
      <c r="C4" s="95"/>
      <c r="D4" s="95"/>
      <c r="E4" s="95"/>
      <c r="F4" s="95" t="s">
        <v>522</v>
      </c>
      <c r="G4" s="95"/>
      <c r="H4" s="95" t="s">
        <v>521</v>
      </c>
      <c r="I4" s="95"/>
      <c r="J4" s="94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4"/>
      <c r="AK4" s="94"/>
      <c r="AL4" s="94"/>
      <c r="AM4" s="94"/>
      <c r="AN4" s="94"/>
    </row>
    <row r="5" spans="1:40" ht="16" x14ac:dyDescent="0.2">
      <c r="A5" s="95"/>
      <c r="B5" s="95"/>
      <c r="C5" s="95"/>
      <c r="D5" s="95"/>
      <c r="E5" s="95"/>
      <c r="F5" s="95"/>
      <c r="G5" s="97" t="s">
        <v>520</v>
      </c>
      <c r="H5" s="96">
        <v>45966</v>
      </c>
      <c r="I5" s="95"/>
      <c r="J5" s="94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4"/>
      <c r="AK5" s="94"/>
      <c r="AL5" s="94"/>
      <c r="AM5" s="94"/>
      <c r="AN5" s="94"/>
    </row>
    <row r="6" spans="1:40" ht="16" x14ac:dyDescent="0.2">
      <c r="A6" s="95"/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4"/>
      <c r="AK6" s="94"/>
      <c r="AL6" s="94"/>
      <c r="AM6" s="94"/>
      <c r="AN6" s="94"/>
    </row>
    <row r="7" spans="1:40" ht="16" x14ac:dyDescent="0.2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4"/>
      <c r="AK7" s="94"/>
      <c r="AL7" s="94"/>
      <c r="AM7" s="94"/>
      <c r="AN7" s="94"/>
    </row>
    <row r="8" spans="1:40" x14ac:dyDescent="0.2">
      <c r="A8" s="87"/>
      <c r="B8" s="87"/>
      <c r="C8" s="87"/>
      <c r="D8" s="87"/>
      <c r="E8" s="87"/>
      <c r="F8" s="87"/>
      <c r="G8" s="87"/>
      <c r="H8" s="87"/>
      <c r="I8" s="93"/>
      <c r="J8" s="93"/>
      <c r="K8" s="93"/>
      <c r="L8" s="93"/>
      <c r="M8" s="92"/>
      <c r="N8" s="92"/>
      <c r="O8" s="92"/>
      <c r="P8" s="92"/>
      <c r="Q8" s="93"/>
      <c r="R8" s="93"/>
      <c r="S8" s="93"/>
      <c r="T8" s="93"/>
      <c r="U8" s="92"/>
      <c r="V8" s="92"/>
      <c r="W8" s="92"/>
      <c r="X8" s="92"/>
      <c r="Y8" s="93"/>
      <c r="Z8" s="93"/>
      <c r="AA8" s="93"/>
      <c r="AB8" s="93"/>
      <c r="AC8" s="92"/>
      <c r="AD8" s="92"/>
      <c r="AE8" s="92"/>
      <c r="AF8" s="92"/>
      <c r="AG8" s="93"/>
      <c r="AH8" s="93"/>
      <c r="AI8" s="93"/>
      <c r="AJ8" s="93"/>
      <c r="AK8" s="92"/>
      <c r="AL8" s="92"/>
      <c r="AM8" s="92"/>
      <c r="AN8" s="92"/>
    </row>
    <row r="9" spans="1:40" ht="19" x14ac:dyDescent="0.25">
      <c r="A9" s="87"/>
      <c r="B9" s="87"/>
      <c r="C9" s="87"/>
      <c r="D9" s="87"/>
      <c r="E9" s="87"/>
      <c r="F9" s="87"/>
      <c r="G9" s="87"/>
      <c r="H9" s="87"/>
      <c r="I9" s="91"/>
      <c r="J9" s="91" t="s">
        <v>519</v>
      </c>
      <c r="K9" s="91"/>
      <c r="L9" s="91"/>
      <c r="M9" s="90"/>
      <c r="N9" s="90" t="s">
        <v>518</v>
      </c>
      <c r="O9" s="90"/>
      <c r="P9" s="90"/>
      <c r="Q9" s="91"/>
      <c r="R9" s="91" t="s">
        <v>517</v>
      </c>
      <c r="S9" s="91"/>
      <c r="T9" s="91"/>
      <c r="U9" s="90"/>
      <c r="V9" s="90" t="s">
        <v>516</v>
      </c>
      <c r="W9" s="90"/>
      <c r="X9" s="90"/>
      <c r="Y9" s="91"/>
      <c r="Z9" s="91" t="s">
        <v>515</v>
      </c>
      <c r="AA9" s="91"/>
      <c r="AB9" s="91"/>
      <c r="AC9" s="90"/>
      <c r="AD9" s="90" t="s">
        <v>514</v>
      </c>
      <c r="AE9" s="90"/>
      <c r="AF9" s="90"/>
      <c r="AG9" s="91"/>
      <c r="AH9" s="91" t="s">
        <v>513</v>
      </c>
      <c r="AI9" s="91"/>
      <c r="AJ9" s="91"/>
      <c r="AK9" s="90"/>
      <c r="AL9" s="90" t="s">
        <v>512</v>
      </c>
      <c r="AM9" s="90"/>
      <c r="AN9" s="90"/>
    </row>
    <row r="10" spans="1:40" x14ac:dyDescent="0.2">
      <c r="A10" s="87" t="s">
        <v>404</v>
      </c>
      <c r="B10" s="89" t="s">
        <v>511</v>
      </c>
      <c r="C10" s="89" t="s">
        <v>510</v>
      </c>
      <c r="D10" s="88" t="s">
        <v>509</v>
      </c>
      <c r="E10" s="88" t="s">
        <v>508</v>
      </c>
      <c r="F10" s="88" t="s">
        <v>507</v>
      </c>
      <c r="G10" s="88" t="s">
        <v>506</v>
      </c>
      <c r="H10" s="88" t="s">
        <v>505</v>
      </c>
      <c r="I10" s="86"/>
      <c r="J10" s="86"/>
      <c r="K10" s="86"/>
      <c r="L10" s="86"/>
      <c r="M10" s="82"/>
      <c r="N10" s="82"/>
      <c r="O10" s="82"/>
      <c r="P10" s="82"/>
      <c r="Q10" s="86"/>
      <c r="R10" s="86"/>
      <c r="S10" s="86"/>
      <c r="T10" s="86"/>
      <c r="U10" s="82"/>
      <c r="V10" s="82"/>
      <c r="W10" s="82"/>
      <c r="X10" s="82"/>
      <c r="Y10" s="86"/>
      <c r="Z10" s="86"/>
      <c r="AA10" s="86"/>
      <c r="AB10" s="86"/>
      <c r="AC10" s="82"/>
      <c r="AD10" s="82"/>
      <c r="AE10" s="82"/>
      <c r="AF10" s="82"/>
      <c r="AG10" s="86"/>
      <c r="AH10" s="86"/>
      <c r="AI10" s="86"/>
      <c r="AJ10" s="86"/>
      <c r="AK10" s="82"/>
      <c r="AL10" s="82"/>
      <c r="AM10" s="82"/>
      <c r="AN10" s="82"/>
    </row>
    <row r="11" spans="1:40" x14ac:dyDescent="0.2">
      <c r="A11" s="87"/>
      <c r="B11" s="87"/>
      <c r="C11" s="87"/>
      <c r="D11" s="87"/>
      <c r="E11" s="87"/>
      <c r="F11" s="87"/>
      <c r="G11" s="87" t="s">
        <v>504</v>
      </c>
      <c r="H11" s="87"/>
      <c r="I11" s="86" t="s">
        <v>154</v>
      </c>
      <c r="J11" s="86" t="s">
        <v>155</v>
      </c>
      <c r="K11" s="86" t="s">
        <v>156</v>
      </c>
      <c r="L11" s="86" t="s">
        <v>157</v>
      </c>
      <c r="M11" s="82" t="s">
        <v>154</v>
      </c>
      <c r="N11" s="82" t="s">
        <v>155</v>
      </c>
      <c r="O11" s="82" t="s">
        <v>156</v>
      </c>
      <c r="P11" s="82" t="s">
        <v>157</v>
      </c>
      <c r="Q11" s="86" t="s">
        <v>154</v>
      </c>
      <c r="R11" s="86" t="s">
        <v>155</v>
      </c>
      <c r="S11" s="86" t="s">
        <v>156</v>
      </c>
      <c r="T11" s="86" t="s">
        <v>157</v>
      </c>
      <c r="U11" s="82" t="s">
        <v>154</v>
      </c>
      <c r="V11" s="82" t="s">
        <v>155</v>
      </c>
      <c r="W11" s="82" t="s">
        <v>156</v>
      </c>
      <c r="X11" s="82" t="s">
        <v>157</v>
      </c>
      <c r="Y11" s="86" t="s">
        <v>154</v>
      </c>
      <c r="Z11" s="86" t="s">
        <v>155</v>
      </c>
      <c r="AA11" s="86" t="s">
        <v>156</v>
      </c>
      <c r="AB11" s="86" t="s">
        <v>157</v>
      </c>
      <c r="AC11" s="82" t="s">
        <v>154</v>
      </c>
      <c r="AD11" s="82" t="s">
        <v>155</v>
      </c>
      <c r="AE11" s="82" t="s">
        <v>156</v>
      </c>
      <c r="AF11" s="82" t="s">
        <v>157</v>
      </c>
      <c r="AG11" s="86" t="s">
        <v>154</v>
      </c>
      <c r="AH11" s="86" t="s">
        <v>155</v>
      </c>
      <c r="AI11" s="86" t="s">
        <v>156</v>
      </c>
      <c r="AJ11" s="86" t="s">
        <v>157</v>
      </c>
      <c r="AK11" s="82" t="s">
        <v>154</v>
      </c>
      <c r="AL11" s="82" t="s">
        <v>155</v>
      </c>
      <c r="AM11" s="82" t="s">
        <v>156</v>
      </c>
      <c r="AN11" s="82" t="s">
        <v>157</v>
      </c>
    </row>
    <row r="12" spans="1:40" x14ac:dyDescent="0.2">
      <c r="A12" s="87"/>
      <c r="B12" s="87"/>
      <c r="C12" s="87"/>
      <c r="D12" s="87"/>
      <c r="E12" s="87"/>
      <c r="F12" s="87"/>
      <c r="G12" s="87"/>
      <c r="H12" s="87"/>
      <c r="I12" s="86"/>
      <c r="J12" s="86"/>
      <c r="K12" s="86"/>
      <c r="L12" s="86"/>
      <c r="M12" s="82"/>
      <c r="N12" s="82"/>
      <c r="O12" s="82"/>
      <c r="P12" s="82"/>
      <c r="Q12" s="86"/>
      <c r="R12" s="86"/>
      <c r="S12" s="86"/>
      <c r="T12" s="86"/>
      <c r="U12" s="82"/>
      <c r="V12" s="82"/>
      <c r="W12" s="82"/>
      <c r="X12" s="82"/>
      <c r="Y12" s="86"/>
      <c r="Z12" s="86"/>
      <c r="AA12" s="85"/>
      <c r="AB12" s="85"/>
      <c r="AC12" s="84"/>
      <c r="AD12" s="84"/>
      <c r="AE12" s="84"/>
      <c r="AF12" s="84"/>
      <c r="AG12" s="85"/>
      <c r="AH12" s="85"/>
      <c r="AI12" s="85"/>
      <c r="AJ12" s="85"/>
      <c r="AK12" s="84"/>
      <c r="AL12" s="84"/>
      <c r="AM12" s="84"/>
      <c r="AN12" s="84"/>
    </row>
    <row r="13" spans="1:40" ht="16" x14ac:dyDescent="0.2">
      <c r="A13" s="82"/>
      <c r="B13" s="82" t="s">
        <v>14</v>
      </c>
      <c r="C13" s="83" t="s">
        <v>503</v>
      </c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</row>
    <row r="14" spans="1:40" ht="15" x14ac:dyDescent="0.2">
      <c r="C14" s="80" t="s">
        <v>502</v>
      </c>
      <c r="D14" s="70" t="s">
        <v>411</v>
      </c>
      <c r="E14" s="72">
        <v>45936</v>
      </c>
      <c r="F14" s="72">
        <v>45937</v>
      </c>
      <c r="G14" s="70">
        <v>1</v>
      </c>
    </row>
    <row r="15" spans="1:40" ht="16" x14ac:dyDescent="0.2">
      <c r="C15" s="81" t="s">
        <v>501</v>
      </c>
      <c r="I15" s="74"/>
    </row>
    <row r="16" spans="1:40" ht="15" x14ac:dyDescent="0.2">
      <c r="C16" s="80" t="s">
        <v>500</v>
      </c>
      <c r="D16" s="70" t="s">
        <v>411</v>
      </c>
      <c r="E16" s="72">
        <v>45936</v>
      </c>
      <c r="F16" s="72">
        <v>45938</v>
      </c>
      <c r="G16" s="70">
        <v>2</v>
      </c>
    </row>
    <row r="17" spans="1:17" x14ac:dyDescent="0.2">
      <c r="C17" s="79" t="s">
        <v>499</v>
      </c>
      <c r="J17" s="74"/>
    </row>
    <row r="18" spans="1:17" x14ac:dyDescent="0.2">
      <c r="C18" s="70" t="s">
        <v>498</v>
      </c>
      <c r="J18" s="73"/>
    </row>
    <row r="19" spans="1:17" ht="15" x14ac:dyDescent="0.2">
      <c r="C19" s="77" t="s">
        <v>497</v>
      </c>
      <c r="D19" s="70" t="s">
        <v>411</v>
      </c>
      <c r="E19" s="72">
        <v>45939</v>
      </c>
      <c r="F19" s="72">
        <v>45946</v>
      </c>
      <c r="G19" s="70">
        <v>7</v>
      </c>
      <c r="H19" s="70" t="s">
        <v>496</v>
      </c>
      <c r="K19" s="73"/>
    </row>
    <row r="20" spans="1:17" x14ac:dyDescent="0.2">
      <c r="C20" s="70" t="s">
        <v>495</v>
      </c>
      <c r="K20" s="71"/>
    </row>
    <row r="22" spans="1:17" ht="16" x14ac:dyDescent="0.2">
      <c r="A22" s="75"/>
      <c r="B22" s="75" t="s">
        <v>22</v>
      </c>
      <c r="C22" s="76" t="s">
        <v>494</v>
      </c>
      <c r="D22" s="75"/>
      <c r="E22" s="75"/>
      <c r="F22" s="75"/>
      <c r="G22" s="75"/>
      <c r="H22" s="75"/>
    </row>
    <row r="23" spans="1:17" ht="15" x14ac:dyDescent="0.2">
      <c r="C23" s="70" t="s">
        <v>493</v>
      </c>
      <c r="D23" s="70" t="s">
        <v>411</v>
      </c>
      <c r="E23" s="72">
        <v>45948</v>
      </c>
      <c r="F23" s="72">
        <v>45951</v>
      </c>
      <c r="G23" s="70">
        <v>3</v>
      </c>
      <c r="L23" s="74"/>
    </row>
    <row r="24" spans="1:17" x14ac:dyDescent="0.2">
      <c r="C24" s="70" t="s">
        <v>492</v>
      </c>
      <c r="L24" s="74"/>
      <c r="M24" s="73"/>
    </row>
    <row r="25" spans="1:17" ht="15" x14ac:dyDescent="0.2">
      <c r="C25" s="77" t="s">
        <v>491</v>
      </c>
      <c r="D25" s="70" t="s">
        <v>411</v>
      </c>
      <c r="E25" s="72">
        <v>45948</v>
      </c>
      <c r="F25" s="72">
        <v>45958</v>
      </c>
      <c r="G25" s="70">
        <v>10</v>
      </c>
      <c r="H25" s="70" t="s">
        <v>490</v>
      </c>
      <c r="M25" s="73"/>
      <c r="N25" s="74"/>
    </row>
    <row r="26" spans="1:17" x14ac:dyDescent="0.2">
      <c r="C26" s="70" t="s">
        <v>489</v>
      </c>
      <c r="N26" s="74"/>
    </row>
    <row r="27" spans="1:17" x14ac:dyDescent="0.2">
      <c r="C27" s="70" t="s">
        <v>488</v>
      </c>
      <c r="O27" s="73"/>
    </row>
    <row r="28" spans="1:17" ht="15" x14ac:dyDescent="0.2">
      <c r="C28" s="77" t="s">
        <v>487</v>
      </c>
      <c r="D28" s="70" t="s">
        <v>444</v>
      </c>
      <c r="E28" s="72">
        <v>45958</v>
      </c>
      <c r="F28" s="72">
        <v>45968</v>
      </c>
      <c r="G28" s="70">
        <v>9</v>
      </c>
      <c r="H28" s="70" t="s">
        <v>486</v>
      </c>
      <c r="O28" s="73"/>
    </row>
    <row r="29" spans="1:17" x14ac:dyDescent="0.2">
      <c r="C29" s="70" t="s">
        <v>485</v>
      </c>
      <c r="P29" s="71"/>
      <c r="Q29" s="74"/>
    </row>
    <row r="30" spans="1:17" ht="15" x14ac:dyDescent="0.2">
      <c r="C30" s="77" t="s">
        <v>484</v>
      </c>
      <c r="D30" s="70" t="s">
        <v>417</v>
      </c>
      <c r="E30" s="72">
        <v>45966</v>
      </c>
      <c r="F30" s="72">
        <v>45975</v>
      </c>
      <c r="G30" s="70">
        <v>9</v>
      </c>
      <c r="H30" s="70" t="s">
        <v>483</v>
      </c>
      <c r="P30" s="71"/>
    </row>
    <row r="31" spans="1:17" x14ac:dyDescent="0.2">
      <c r="C31" s="70" t="s">
        <v>482</v>
      </c>
    </row>
    <row r="33" spans="1:24" ht="16" x14ac:dyDescent="0.2">
      <c r="A33" s="75"/>
      <c r="B33" s="75" t="s">
        <v>34</v>
      </c>
      <c r="C33" s="76" t="s">
        <v>481</v>
      </c>
      <c r="D33" s="75"/>
      <c r="E33" s="75"/>
      <c r="F33" s="75"/>
      <c r="G33" s="75"/>
      <c r="H33" s="75"/>
    </row>
    <row r="34" spans="1:24" ht="15" x14ac:dyDescent="0.2">
      <c r="C34" s="77" t="s">
        <v>480</v>
      </c>
      <c r="D34" s="70" t="s">
        <v>429</v>
      </c>
      <c r="E34" s="72">
        <v>45976</v>
      </c>
      <c r="F34" s="72">
        <v>45987</v>
      </c>
      <c r="G34" s="70">
        <v>11</v>
      </c>
      <c r="H34" s="70" t="s">
        <v>479</v>
      </c>
      <c r="Q34" s="73"/>
    </row>
    <row r="35" spans="1:24" x14ac:dyDescent="0.2">
      <c r="C35" s="70" t="s">
        <v>478</v>
      </c>
      <c r="Q35" s="73"/>
    </row>
    <row r="36" spans="1:24" x14ac:dyDescent="0.2">
      <c r="C36" s="70" t="s">
        <v>477</v>
      </c>
      <c r="R36" s="74"/>
      <c r="S36" s="74"/>
    </row>
    <row r="37" spans="1:24" ht="15" x14ac:dyDescent="0.2">
      <c r="C37" s="77" t="s">
        <v>476</v>
      </c>
      <c r="D37" s="70" t="s">
        <v>411</v>
      </c>
      <c r="E37" s="72">
        <v>45988</v>
      </c>
      <c r="F37" s="72">
        <v>45997</v>
      </c>
      <c r="G37" s="70">
        <v>10</v>
      </c>
      <c r="H37" s="70" t="s">
        <v>475</v>
      </c>
      <c r="S37" s="74"/>
    </row>
    <row r="38" spans="1:24" x14ac:dyDescent="0.2">
      <c r="C38" s="70" t="s">
        <v>474</v>
      </c>
      <c r="T38" s="73"/>
    </row>
    <row r="39" spans="1:24" x14ac:dyDescent="0.2">
      <c r="C39" s="70" t="s">
        <v>473</v>
      </c>
      <c r="T39" s="73"/>
    </row>
    <row r="41" spans="1:24" ht="16" x14ac:dyDescent="0.2">
      <c r="A41" s="75"/>
      <c r="B41" s="75" t="s">
        <v>44</v>
      </c>
      <c r="C41" s="78" t="s">
        <v>472</v>
      </c>
      <c r="D41" s="75"/>
      <c r="E41" s="75"/>
      <c r="F41" s="75"/>
      <c r="G41" s="75"/>
      <c r="H41" s="75"/>
    </row>
    <row r="42" spans="1:24" ht="15" x14ac:dyDescent="0.2">
      <c r="C42" s="77" t="s">
        <v>471</v>
      </c>
      <c r="D42" s="70" t="s">
        <v>461</v>
      </c>
      <c r="E42" s="72">
        <v>45998</v>
      </c>
      <c r="F42" s="72">
        <v>46005</v>
      </c>
      <c r="G42" s="70">
        <v>7</v>
      </c>
      <c r="H42" s="70" t="s">
        <v>470</v>
      </c>
      <c r="U42" s="71"/>
    </row>
    <row r="43" spans="1:24" x14ac:dyDescent="0.2">
      <c r="C43" s="70" t="s">
        <v>469</v>
      </c>
      <c r="U43" s="71"/>
      <c r="V43" s="71"/>
    </row>
    <row r="44" spans="1:24" x14ac:dyDescent="0.2">
      <c r="C44" s="70" t="s">
        <v>468</v>
      </c>
      <c r="V44" s="73"/>
    </row>
    <row r="45" spans="1:24" x14ac:dyDescent="0.2">
      <c r="C45" s="70" t="s">
        <v>467</v>
      </c>
      <c r="W45" s="73"/>
    </row>
    <row r="46" spans="1:24" ht="15" x14ac:dyDescent="0.2">
      <c r="C46" s="77" t="s">
        <v>466</v>
      </c>
      <c r="D46" s="70" t="s">
        <v>461</v>
      </c>
      <c r="E46" s="72">
        <v>46005</v>
      </c>
      <c r="F46" s="72">
        <v>46012</v>
      </c>
      <c r="G46" s="70">
        <v>7</v>
      </c>
      <c r="H46" s="70" t="s">
        <v>465</v>
      </c>
      <c r="W46" s="73"/>
    </row>
    <row r="47" spans="1:24" x14ac:dyDescent="0.2">
      <c r="C47" s="70" t="s">
        <v>464</v>
      </c>
      <c r="X47" s="74"/>
    </row>
    <row r="48" spans="1:24" x14ac:dyDescent="0.2">
      <c r="C48" s="70" t="s">
        <v>463</v>
      </c>
      <c r="X48" s="74"/>
    </row>
    <row r="49" spans="1:28" ht="15" x14ac:dyDescent="0.2">
      <c r="C49" s="77" t="s">
        <v>462</v>
      </c>
      <c r="D49" s="70" t="s">
        <v>461</v>
      </c>
      <c r="E49" s="72">
        <v>46005</v>
      </c>
      <c r="F49" s="72">
        <v>46018</v>
      </c>
      <c r="G49" s="70">
        <v>12</v>
      </c>
      <c r="V49" s="73"/>
    </row>
    <row r="50" spans="1:28" x14ac:dyDescent="0.2">
      <c r="C50" s="70" t="s">
        <v>460</v>
      </c>
      <c r="W50" s="74"/>
    </row>
    <row r="51" spans="1:28" x14ac:dyDescent="0.2">
      <c r="C51" s="70" t="s">
        <v>459</v>
      </c>
      <c r="W51" s="74"/>
    </row>
    <row r="52" spans="1:28" ht="15" x14ac:dyDescent="0.2">
      <c r="C52" s="77" t="s">
        <v>458</v>
      </c>
      <c r="D52" s="70" t="s">
        <v>411</v>
      </c>
      <c r="E52" s="72">
        <v>46012</v>
      </c>
      <c r="F52" s="72">
        <v>46023</v>
      </c>
      <c r="G52" s="70">
        <v>10</v>
      </c>
      <c r="H52" s="70" t="s">
        <v>457</v>
      </c>
      <c r="X52" s="73"/>
    </row>
    <row r="53" spans="1:28" x14ac:dyDescent="0.2">
      <c r="C53" s="70" t="s">
        <v>456</v>
      </c>
      <c r="X53" s="74"/>
    </row>
    <row r="54" spans="1:28" x14ac:dyDescent="0.2">
      <c r="C54" s="70" t="s">
        <v>455</v>
      </c>
      <c r="W54" s="73"/>
    </row>
    <row r="56" spans="1:28" ht="16" x14ac:dyDescent="0.2">
      <c r="A56" s="75"/>
      <c r="B56" s="75" t="s">
        <v>63</v>
      </c>
      <c r="C56" s="76" t="s">
        <v>454</v>
      </c>
      <c r="D56" s="75"/>
      <c r="E56" s="75"/>
      <c r="F56" s="75"/>
      <c r="G56" s="75"/>
      <c r="H56" s="75"/>
      <c r="Y56" s="71"/>
    </row>
    <row r="57" spans="1:28" ht="15" x14ac:dyDescent="0.2">
      <c r="C57" s="77" t="s">
        <v>453</v>
      </c>
      <c r="D57" s="70" t="s">
        <v>444</v>
      </c>
      <c r="E57" s="72">
        <v>46025</v>
      </c>
      <c r="F57" s="72">
        <v>46034</v>
      </c>
      <c r="G57" s="70">
        <v>9</v>
      </c>
      <c r="H57" s="70" t="s">
        <v>452</v>
      </c>
      <c r="Y57" s="71"/>
      <c r="Z57" s="73"/>
    </row>
    <row r="58" spans="1:28" x14ac:dyDescent="0.2">
      <c r="C58" s="70" t="s">
        <v>451</v>
      </c>
      <c r="Z58" s="71"/>
      <c r="AA58" s="73"/>
    </row>
    <row r="59" spans="1:28" x14ac:dyDescent="0.2">
      <c r="C59" s="70" t="s">
        <v>450</v>
      </c>
      <c r="AA59" s="73"/>
    </row>
    <row r="60" spans="1:28" ht="15" x14ac:dyDescent="0.2">
      <c r="C60" s="77" t="s">
        <v>449</v>
      </c>
      <c r="D60" s="70" t="s">
        <v>444</v>
      </c>
      <c r="E60" s="72">
        <v>46033</v>
      </c>
      <c r="F60" s="72">
        <v>46039</v>
      </c>
      <c r="G60" s="70">
        <v>6</v>
      </c>
      <c r="H60" s="70" t="s">
        <v>448</v>
      </c>
      <c r="Y60" s="71"/>
    </row>
    <row r="61" spans="1:28" x14ac:dyDescent="0.2">
      <c r="C61" s="70" t="s">
        <v>447</v>
      </c>
      <c r="Z61" s="71"/>
    </row>
    <row r="62" spans="1:28" x14ac:dyDescent="0.2">
      <c r="C62" s="70" t="s">
        <v>446</v>
      </c>
      <c r="Z62" s="71"/>
      <c r="AA62" s="74"/>
    </row>
    <row r="63" spans="1:28" ht="15" x14ac:dyDescent="0.2">
      <c r="C63" s="77" t="s">
        <v>445</v>
      </c>
      <c r="D63" s="70" t="s">
        <v>444</v>
      </c>
      <c r="E63" s="72">
        <v>46040</v>
      </c>
      <c r="F63" s="72">
        <v>46054</v>
      </c>
      <c r="G63" s="70">
        <v>13</v>
      </c>
      <c r="H63" s="70" t="s">
        <v>443</v>
      </c>
      <c r="AA63" s="74"/>
    </row>
    <row r="64" spans="1:28" x14ac:dyDescent="0.2">
      <c r="C64" s="70" t="s">
        <v>442</v>
      </c>
      <c r="AB64" s="74"/>
    </row>
    <row r="65" spans="1:33" x14ac:dyDescent="0.2">
      <c r="C65" s="70" t="s">
        <v>441</v>
      </c>
      <c r="AB65" s="74"/>
    </row>
    <row r="66" spans="1:33" ht="15" x14ac:dyDescent="0.2">
      <c r="C66" s="77" t="s">
        <v>440</v>
      </c>
      <c r="D66" s="70" t="s">
        <v>432</v>
      </c>
      <c r="E66" s="72">
        <v>46057</v>
      </c>
      <c r="F66" s="72">
        <v>46067</v>
      </c>
      <c r="G66" s="70">
        <v>10</v>
      </c>
      <c r="AB66" s="74"/>
      <c r="AC66" s="74"/>
    </row>
    <row r="67" spans="1:33" x14ac:dyDescent="0.2">
      <c r="C67" s="70" t="s">
        <v>439</v>
      </c>
    </row>
    <row r="68" spans="1:33" x14ac:dyDescent="0.2">
      <c r="C68" s="70" t="s">
        <v>438</v>
      </c>
    </row>
    <row r="70" spans="1:33" ht="16" x14ac:dyDescent="0.2">
      <c r="A70" s="75"/>
      <c r="B70" s="75" t="s">
        <v>85</v>
      </c>
      <c r="C70" s="76" t="s">
        <v>437</v>
      </c>
      <c r="D70" s="75"/>
      <c r="E70" s="75"/>
      <c r="F70" s="75"/>
      <c r="G70" s="75"/>
      <c r="H70" s="75"/>
    </row>
    <row r="71" spans="1:33" x14ac:dyDescent="0.2">
      <c r="C71" s="70" t="s">
        <v>436</v>
      </c>
      <c r="D71" s="70" t="s">
        <v>429</v>
      </c>
      <c r="E71" s="72">
        <v>46068</v>
      </c>
      <c r="F71" s="72">
        <v>46073</v>
      </c>
      <c r="G71" s="70">
        <v>5</v>
      </c>
      <c r="H71" s="70" t="s">
        <v>435</v>
      </c>
      <c r="AC71" s="73"/>
    </row>
    <row r="72" spans="1:33" x14ac:dyDescent="0.2">
      <c r="C72" s="70" t="s">
        <v>434</v>
      </c>
      <c r="AC72" s="73"/>
      <c r="AD72" s="71"/>
    </row>
    <row r="73" spans="1:33" x14ac:dyDescent="0.2">
      <c r="C73" s="70" t="s">
        <v>433</v>
      </c>
      <c r="D73" s="70" t="s">
        <v>432</v>
      </c>
      <c r="E73" s="72">
        <v>46074</v>
      </c>
      <c r="F73" s="72">
        <v>46079</v>
      </c>
      <c r="G73" s="70">
        <v>5</v>
      </c>
      <c r="AE73" s="74"/>
      <c r="AG73" s="71"/>
    </row>
    <row r="74" spans="1:33" x14ac:dyDescent="0.2">
      <c r="C74" s="70" t="s">
        <v>431</v>
      </c>
      <c r="AE74" s="73"/>
      <c r="AF74" s="74"/>
      <c r="AG74" s="73"/>
    </row>
    <row r="75" spans="1:33" x14ac:dyDescent="0.2">
      <c r="C75" s="70" t="s">
        <v>430</v>
      </c>
      <c r="D75" s="70" t="s">
        <v>429</v>
      </c>
      <c r="E75" s="72">
        <v>46079</v>
      </c>
      <c r="F75" s="72">
        <v>46087</v>
      </c>
      <c r="G75" s="70">
        <v>10</v>
      </c>
      <c r="H75" s="70" t="s">
        <v>428</v>
      </c>
      <c r="AF75" s="74"/>
    </row>
    <row r="76" spans="1:33" x14ac:dyDescent="0.2">
      <c r="C76" s="70" t="s">
        <v>427</v>
      </c>
      <c r="AG76" s="73"/>
    </row>
    <row r="77" spans="1:33" x14ac:dyDescent="0.2">
      <c r="C77" s="70" t="s">
        <v>426</v>
      </c>
      <c r="D77" s="70" t="s">
        <v>411</v>
      </c>
      <c r="E77" s="72">
        <v>46087</v>
      </c>
      <c r="F77" s="72">
        <v>46094</v>
      </c>
      <c r="G77" s="70">
        <v>7</v>
      </c>
      <c r="H77" s="70" t="s">
        <v>425</v>
      </c>
    </row>
    <row r="78" spans="1:33" x14ac:dyDescent="0.2">
      <c r="C78" s="70" t="s">
        <v>424</v>
      </c>
      <c r="AG78" s="71"/>
    </row>
    <row r="80" spans="1:33" ht="16" x14ac:dyDescent="0.2">
      <c r="A80" s="75"/>
      <c r="B80" s="75" t="s">
        <v>423</v>
      </c>
      <c r="C80" s="76" t="s">
        <v>422</v>
      </c>
      <c r="D80" s="75"/>
      <c r="E80" s="75"/>
      <c r="F80" s="75"/>
      <c r="G80" s="75"/>
      <c r="H80" s="75"/>
    </row>
    <row r="81" spans="3:35" x14ac:dyDescent="0.2">
      <c r="C81" s="70" t="s">
        <v>421</v>
      </c>
      <c r="D81" s="70" t="s">
        <v>411</v>
      </c>
      <c r="E81" s="72">
        <v>46094</v>
      </c>
      <c r="F81" s="72">
        <v>46100</v>
      </c>
      <c r="G81" s="70">
        <v>6</v>
      </c>
      <c r="H81" s="70" t="s">
        <v>420</v>
      </c>
      <c r="AF81" s="73"/>
      <c r="AH81" s="74"/>
    </row>
    <row r="82" spans="3:35" x14ac:dyDescent="0.2">
      <c r="C82" s="70" t="s">
        <v>419</v>
      </c>
      <c r="AF82" s="73"/>
      <c r="AG82" s="74"/>
      <c r="AI82" s="73"/>
    </row>
    <row r="83" spans="3:35" x14ac:dyDescent="0.2">
      <c r="C83" s="70" t="s">
        <v>418</v>
      </c>
      <c r="D83" s="70" t="s">
        <v>417</v>
      </c>
      <c r="E83" s="72">
        <v>46101</v>
      </c>
      <c r="F83" s="72">
        <v>46109</v>
      </c>
      <c r="G83" s="70">
        <v>8</v>
      </c>
    </row>
    <row r="84" spans="3:35" x14ac:dyDescent="0.2">
      <c r="C84" s="70" t="s">
        <v>416</v>
      </c>
      <c r="AH84" s="71"/>
    </row>
    <row r="85" spans="3:35" x14ac:dyDescent="0.2">
      <c r="C85" s="70" t="s">
        <v>415</v>
      </c>
      <c r="D85" s="70" t="s">
        <v>411</v>
      </c>
      <c r="E85" s="72">
        <v>46106</v>
      </c>
      <c r="F85" s="72">
        <v>46117</v>
      </c>
      <c r="G85" s="70">
        <v>11</v>
      </c>
      <c r="H85" s="70" t="s">
        <v>414</v>
      </c>
      <c r="AI85" s="71"/>
    </row>
    <row r="86" spans="3:35" x14ac:dyDescent="0.2">
      <c r="C86" s="70" t="s">
        <v>413</v>
      </c>
      <c r="AH86" s="73"/>
    </row>
    <row r="87" spans="3:35" x14ac:dyDescent="0.2">
      <c r="C87" s="70" t="s">
        <v>412</v>
      </c>
      <c r="D87" s="70" t="s">
        <v>411</v>
      </c>
      <c r="E87" s="72">
        <v>46110</v>
      </c>
      <c r="F87" s="72">
        <v>46126</v>
      </c>
      <c r="G87" s="70">
        <v>15</v>
      </c>
      <c r="H87" s="70" t="s">
        <v>410</v>
      </c>
      <c r="AH87" s="71"/>
    </row>
    <row r="88" spans="3:35" x14ac:dyDescent="0.2">
      <c r="C88" s="70" t="s">
        <v>409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topLeftCell="A9" workbookViewId="0">
      <selection activeCell="C8" sqref="C8"/>
    </sheetView>
  </sheetViews>
  <sheetFormatPr baseColWidth="10" defaultColWidth="8.83203125" defaultRowHeight="15" x14ac:dyDescent="0.2"/>
  <cols>
    <col min="1" max="1" width="23.6640625" customWidth="1"/>
    <col min="2" max="2" width="28" customWidth="1"/>
    <col min="3" max="3" width="38" customWidth="1"/>
    <col min="4" max="4" width="18" customWidth="1"/>
    <col min="5" max="5" width="36" customWidth="1"/>
  </cols>
  <sheetData>
    <row r="1" spans="1:5" ht="32" customHeight="1" x14ac:dyDescent="0.2">
      <c r="A1" s="127" t="s">
        <v>162</v>
      </c>
      <c r="B1" s="126"/>
      <c r="C1" s="126"/>
      <c r="D1" s="126"/>
      <c r="E1" s="126"/>
    </row>
    <row r="2" spans="1:5" ht="18" customHeight="1" x14ac:dyDescent="0.2">
      <c r="A2" s="162" t="s">
        <v>163</v>
      </c>
      <c r="B2" s="126"/>
      <c r="C2" s="126"/>
      <c r="D2" s="126"/>
      <c r="E2" s="126"/>
    </row>
    <row r="4" spans="1:5" ht="22" customHeight="1" x14ac:dyDescent="0.2">
      <c r="A4" s="164" t="s">
        <v>164</v>
      </c>
      <c r="B4" s="126"/>
      <c r="C4" s="126"/>
      <c r="D4" s="126"/>
      <c r="E4" s="126"/>
    </row>
    <row r="5" spans="1:5" ht="18" customHeight="1" x14ac:dyDescent="0.2">
      <c r="A5" s="47" t="s">
        <v>165</v>
      </c>
      <c r="B5" s="48" t="s">
        <v>166</v>
      </c>
      <c r="C5" s="48" t="s">
        <v>167</v>
      </c>
      <c r="D5" s="165"/>
      <c r="E5" s="166"/>
    </row>
    <row r="6" spans="1:5" ht="22" customHeight="1" x14ac:dyDescent="0.2">
      <c r="A6" s="49" t="s">
        <v>168</v>
      </c>
      <c r="B6" s="19">
        <v>3</v>
      </c>
      <c r="C6" s="3" t="s">
        <v>169</v>
      </c>
      <c r="D6" s="161"/>
      <c r="E6" s="153"/>
    </row>
    <row r="7" spans="1:5" ht="22" customHeight="1" x14ac:dyDescent="0.2">
      <c r="A7" s="50" t="s">
        <v>170</v>
      </c>
      <c r="B7" s="22">
        <v>0.6</v>
      </c>
      <c r="C7" s="8" t="s">
        <v>171</v>
      </c>
      <c r="D7" s="152"/>
      <c r="E7" s="153"/>
    </row>
    <row r="8" spans="1:5" ht="22" customHeight="1" x14ac:dyDescent="0.2">
      <c r="A8" s="49" t="s">
        <v>172</v>
      </c>
      <c r="B8" s="24" t="str">
        <f ca="1">B7*B8</f>
        <v/>
      </c>
      <c r="C8" s="3" t="s">
        <v>173</v>
      </c>
      <c r="D8" s="161"/>
      <c r="E8" s="153"/>
    </row>
    <row r="9" spans="1:5" ht="22" customHeight="1" x14ac:dyDescent="0.2">
      <c r="A9" s="50" t="s">
        <v>174</v>
      </c>
      <c r="B9" s="22">
        <v>30000</v>
      </c>
      <c r="C9" s="8" t="s">
        <v>175</v>
      </c>
      <c r="D9" s="152"/>
      <c r="E9" s="153"/>
    </row>
    <row r="10" spans="1:5" ht="22" customHeight="1" x14ac:dyDescent="0.2">
      <c r="A10" s="49" t="s">
        <v>176</v>
      </c>
      <c r="B10" s="24" t="str">
        <f ca="1">B9*B10</f>
        <v/>
      </c>
      <c r="C10" s="3" t="s">
        <v>177</v>
      </c>
      <c r="D10" s="161"/>
      <c r="E10" s="153"/>
    </row>
    <row r="11" spans="1:5" ht="22" customHeight="1" x14ac:dyDescent="0.2">
      <c r="A11" s="50" t="s">
        <v>178</v>
      </c>
      <c r="B11" s="22">
        <v>7</v>
      </c>
      <c r="C11" s="8" t="s">
        <v>179</v>
      </c>
      <c r="D11" s="152"/>
      <c r="E11" s="153"/>
    </row>
    <row r="12" spans="1:5" ht="22" customHeight="1" x14ac:dyDescent="0.2">
      <c r="A12" s="49" t="s">
        <v>180</v>
      </c>
      <c r="B12" s="24" t="str">
        <f ca="1">B12/12</f>
        <v/>
      </c>
      <c r="C12" s="3" t="s">
        <v>181</v>
      </c>
      <c r="D12" s="161"/>
      <c r="E12" s="153"/>
    </row>
    <row r="13" spans="1:5" ht="22" customHeight="1" x14ac:dyDescent="0.2">
      <c r="A13" s="50" t="s">
        <v>182</v>
      </c>
      <c r="B13" s="25" t="str">
        <f ca="1">B11*B13</f>
        <v/>
      </c>
      <c r="C13" s="8" t="s">
        <v>183</v>
      </c>
      <c r="D13" s="152"/>
      <c r="E13" s="153"/>
    </row>
    <row r="14" spans="1:5" x14ac:dyDescent="0.2">
      <c r="A14" s="51"/>
      <c r="B14" s="52"/>
      <c r="C14" s="52"/>
      <c r="D14" s="52"/>
      <c r="E14" s="53"/>
    </row>
    <row r="15" spans="1:5" ht="22" customHeight="1" x14ac:dyDescent="0.2">
      <c r="A15" s="164" t="s">
        <v>184</v>
      </c>
      <c r="B15" s="126"/>
      <c r="C15" s="126"/>
      <c r="D15" s="126"/>
      <c r="E15" s="126"/>
    </row>
    <row r="16" spans="1:5" ht="18" customHeight="1" x14ac:dyDescent="0.2">
      <c r="A16" s="47" t="s">
        <v>404</v>
      </c>
      <c r="B16" s="48" t="s">
        <v>186</v>
      </c>
      <c r="C16" s="48" t="s">
        <v>187</v>
      </c>
      <c r="D16" s="48" t="s">
        <v>188</v>
      </c>
      <c r="E16" s="57" t="s">
        <v>189</v>
      </c>
    </row>
    <row r="17" spans="1:5" ht="28" customHeight="1" x14ac:dyDescent="0.2">
      <c r="A17" s="58">
        <v>1</v>
      </c>
      <c r="B17" s="21" t="s">
        <v>190</v>
      </c>
      <c r="C17" s="8" t="s">
        <v>191</v>
      </c>
      <c r="D17" s="26">
        <v>3000</v>
      </c>
      <c r="E17" s="59" t="s">
        <v>192</v>
      </c>
    </row>
    <row r="18" spans="1:5" ht="28" customHeight="1" x14ac:dyDescent="0.2">
      <c r="A18" s="60">
        <v>2</v>
      </c>
      <c r="B18" s="18" t="s">
        <v>193</v>
      </c>
      <c r="C18" s="3" t="s">
        <v>194</v>
      </c>
      <c r="D18" s="27">
        <v>100</v>
      </c>
      <c r="E18" s="61" t="s">
        <v>195</v>
      </c>
    </row>
    <row r="19" spans="1:5" ht="28" customHeight="1" x14ac:dyDescent="0.2">
      <c r="A19" s="58">
        <v>3</v>
      </c>
      <c r="B19" s="21" t="s">
        <v>196</v>
      </c>
      <c r="C19" s="8" t="s">
        <v>197</v>
      </c>
      <c r="D19" s="26">
        <v>60</v>
      </c>
      <c r="E19" s="59" t="s">
        <v>198</v>
      </c>
    </row>
    <row r="20" spans="1:5" ht="28" customHeight="1" x14ac:dyDescent="0.2">
      <c r="A20" s="62">
        <v>4</v>
      </c>
      <c r="B20" s="63" t="s">
        <v>199</v>
      </c>
      <c r="C20" s="64" t="s">
        <v>200</v>
      </c>
      <c r="D20" s="65">
        <v>200</v>
      </c>
      <c r="E20" s="66" t="s">
        <v>201</v>
      </c>
    </row>
    <row r="21" spans="1:5" x14ac:dyDescent="0.2">
      <c r="A21" s="54"/>
      <c r="B21" s="163" t="s">
        <v>202</v>
      </c>
      <c r="C21" s="126"/>
      <c r="D21" s="55">
        <f>SUM(D17:D20)</f>
        <v>3360</v>
      </c>
      <c r="E21" s="56"/>
    </row>
    <row r="23" spans="1:5" ht="22" customHeight="1" x14ac:dyDescent="0.2">
      <c r="A23" s="164" t="s">
        <v>203</v>
      </c>
      <c r="B23" s="126"/>
      <c r="C23" s="126"/>
      <c r="D23" s="126"/>
      <c r="E23" s="126"/>
    </row>
    <row r="24" spans="1:5" ht="26" customHeight="1" x14ac:dyDescent="0.2">
      <c r="A24" s="158" t="s">
        <v>204</v>
      </c>
      <c r="B24" s="126"/>
      <c r="C24" s="126"/>
      <c r="D24" s="156">
        <f>31500</f>
        <v>31500</v>
      </c>
      <c r="E24" s="126"/>
    </row>
    <row r="25" spans="1:5" ht="26" customHeight="1" x14ac:dyDescent="0.2">
      <c r="A25" s="167" t="s">
        <v>205</v>
      </c>
      <c r="B25" s="126"/>
      <c r="C25" s="126"/>
      <c r="D25" s="155">
        <f>3360</f>
        <v>3360</v>
      </c>
      <c r="E25" s="126"/>
    </row>
    <row r="26" spans="1:5" ht="34" customHeight="1" x14ac:dyDescent="0.2">
      <c r="A26" s="154" t="s">
        <v>206</v>
      </c>
      <c r="B26" s="126"/>
      <c r="C26" s="126"/>
      <c r="D26" s="157">
        <f>D24+D25</f>
        <v>34860</v>
      </c>
      <c r="E26" s="126"/>
    </row>
    <row r="28" spans="1:5" ht="60" customHeight="1" x14ac:dyDescent="0.2">
      <c r="A28" s="159" t="s">
        <v>207</v>
      </c>
      <c r="B28" s="160"/>
      <c r="C28" s="160"/>
      <c r="D28" s="160"/>
      <c r="E28" s="160"/>
    </row>
    <row r="29" spans="1:5" x14ac:dyDescent="0.2">
      <c r="A29" s="160"/>
      <c r="B29" s="160"/>
      <c r="C29" s="160"/>
      <c r="D29" s="160"/>
      <c r="E29" s="160"/>
    </row>
    <row r="30" spans="1:5" x14ac:dyDescent="0.2">
      <c r="A30" s="160"/>
      <c r="B30" s="160"/>
      <c r="C30" s="160"/>
      <c r="D30" s="160"/>
      <c r="E30" s="160"/>
    </row>
  </sheetData>
  <mergeCells count="22">
    <mergeCell ref="A28:E30"/>
    <mergeCell ref="D10:E10"/>
    <mergeCell ref="A1:E1"/>
    <mergeCell ref="D6:E6"/>
    <mergeCell ref="A2:E2"/>
    <mergeCell ref="B21:C21"/>
    <mergeCell ref="A23:E23"/>
    <mergeCell ref="D12:E12"/>
    <mergeCell ref="D9:E9"/>
    <mergeCell ref="A4:E4"/>
    <mergeCell ref="D8:E8"/>
    <mergeCell ref="D5:E5"/>
    <mergeCell ref="A15:E15"/>
    <mergeCell ref="A25:C25"/>
    <mergeCell ref="D11:E11"/>
    <mergeCell ref="D13:E13"/>
    <mergeCell ref="D7:E7"/>
    <mergeCell ref="A26:C26"/>
    <mergeCell ref="D25:E25"/>
    <mergeCell ref="D24:E24"/>
    <mergeCell ref="D26:E26"/>
    <mergeCell ref="A24:C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5"/>
  <sheetViews>
    <sheetView workbookViewId="0">
      <selection sqref="A1:D1"/>
    </sheetView>
  </sheetViews>
  <sheetFormatPr baseColWidth="10" defaultColWidth="8.83203125" defaultRowHeight="15" x14ac:dyDescent="0.2"/>
  <cols>
    <col min="1" max="1" width="70" customWidth="1"/>
    <col min="2" max="4" width="15" customWidth="1"/>
  </cols>
  <sheetData>
    <row r="1" spans="1:4" ht="32" customHeight="1" x14ac:dyDescent="0.2">
      <c r="A1" s="127" t="s">
        <v>208</v>
      </c>
      <c r="B1" s="126"/>
      <c r="C1" s="126"/>
      <c r="D1" s="126"/>
    </row>
    <row r="3" spans="1:4" ht="22" customHeight="1" x14ac:dyDescent="0.2">
      <c r="A3" s="135" t="s">
        <v>209</v>
      </c>
      <c r="B3" s="126"/>
      <c r="C3" s="126"/>
      <c r="D3" s="126"/>
    </row>
    <row r="4" spans="1:4" ht="22" customHeight="1" x14ac:dyDescent="0.2">
      <c r="A4" s="169" t="s">
        <v>210</v>
      </c>
      <c r="B4" s="126"/>
      <c r="C4" s="126"/>
      <c r="D4" s="126"/>
    </row>
    <row r="5" spans="1:4" ht="22" customHeight="1" x14ac:dyDescent="0.2">
      <c r="A5" s="168" t="s">
        <v>211</v>
      </c>
      <c r="B5" s="126"/>
      <c r="C5" s="126"/>
      <c r="D5" s="126"/>
    </row>
    <row r="6" spans="1:4" ht="22" customHeight="1" x14ac:dyDescent="0.2">
      <c r="A6" s="169" t="s">
        <v>212</v>
      </c>
      <c r="B6" s="126"/>
      <c r="C6" s="126"/>
      <c r="D6" s="126"/>
    </row>
    <row r="7" spans="1:4" ht="22" customHeight="1" x14ac:dyDescent="0.2">
      <c r="A7" s="168" t="s">
        <v>213</v>
      </c>
      <c r="B7" s="126"/>
      <c r="C7" s="126"/>
      <c r="D7" s="126"/>
    </row>
    <row r="8" spans="1:4" ht="22" customHeight="1" x14ac:dyDescent="0.2">
      <c r="A8" s="169" t="s">
        <v>214</v>
      </c>
      <c r="B8" s="126"/>
      <c r="C8" s="126"/>
      <c r="D8" s="126"/>
    </row>
    <row r="9" spans="1:4" ht="22" customHeight="1" x14ac:dyDescent="0.2">
      <c r="A9" s="168" t="s">
        <v>215</v>
      </c>
      <c r="B9" s="126"/>
      <c r="C9" s="126"/>
      <c r="D9" s="126"/>
    </row>
    <row r="10" spans="1:4" ht="22" customHeight="1" x14ac:dyDescent="0.2">
      <c r="A10" s="169" t="s">
        <v>216</v>
      </c>
      <c r="B10" s="126"/>
      <c r="C10" s="126"/>
      <c r="D10" s="126"/>
    </row>
    <row r="11" spans="1:4" ht="22" customHeight="1" x14ac:dyDescent="0.2">
      <c r="A11" s="168" t="s">
        <v>217</v>
      </c>
      <c r="B11" s="126"/>
      <c r="C11" s="126"/>
      <c r="D11" s="126"/>
    </row>
    <row r="13" spans="1:4" ht="22" customHeight="1" x14ac:dyDescent="0.2">
      <c r="A13" s="135" t="s">
        <v>218</v>
      </c>
      <c r="B13" s="126"/>
      <c r="C13" s="126"/>
      <c r="D13" s="126"/>
    </row>
    <row r="14" spans="1:4" ht="22" customHeight="1" x14ac:dyDescent="0.2">
      <c r="A14" s="172" t="s">
        <v>219</v>
      </c>
      <c r="B14" s="126"/>
      <c r="C14" s="126"/>
      <c r="D14" s="126"/>
    </row>
    <row r="15" spans="1:4" ht="22" customHeight="1" x14ac:dyDescent="0.2">
      <c r="A15" s="168" t="s">
        <v>220</v>
      </c>
      <c r="B15" s="126"/>
      <c r="C15" s="126"/>
      <c r="D15" s="126"/>
    </row>
    <row r="16" spans="1:4" ht="22" customHeight="1" x14ac:dyDescent="0.2">
      <c r="A16" s="172" t="s">
        <v>221</v>
      </c>
      <c r="B16" s="126"/>
      <c r="C16" s="126"/>
      <c r="D16" s="126"/>
    </row>
    <row r="17" spans="1:4" ht="22" customHeight="1" x14ac:dyDescent="0.2">
      <c r="A17" s="168" t="s">
        <v>222</v>
      </c>
      <c r="B17" s="126"/>
      <c r="C17" s="126"/>
      <c r="D17" s="126"/>
    </row>
    <row r="18" spans="1:4" ht="22" customHeight="1" x14ac:dyDescent="0.2">
      <c r="A18" s="172" t="s">
        <v>223</v>
      </c>
      <c r="B18" s="126"/>
      <c r="C18" s="126"/>
      <c r="D18" s="126"/>
    </row>
    <row r="19" spans="1:4" ht="22" customHeight="1" x14ac:dyDescent="0.2">
      <c r="A19" s="168" t="s">
        <v>224</v>
      </c>
      <c r="B19" s="126"/>
      <c r="C19" s="126"/>
      <c r="D19" s="126"/>
    </row>
    <row r="21" spans="1:4" ht="22" customHeight="1" x14ac:dyDescent="0.2">
      <c r="A21" s="135" t="s">
        <v>225</v>
      </c>
      <c r="B21" s="126"/>
      <c r="C21" s="126"/>
      <c r="D21" s="126"/>
    </row>
    <row r="22" spans="1:4" ht="22" customHeight="1" x14ac:dyDescent="0.2">
      <c r="A22" s="171" t="s">
        <v>226</v>
      </c>
      <c r="B22" s="126"/>
      <c r="C22" s="126"/>
      <c r="D22" s="126"/>
    </row>
    <row r="23" spans="1:4" ht="22" customHeight="1" x14ac:dyDescent="0.2">
      <c r="A23" s="168" t="s">
        <v>227</v>
      </c>
      <c r="B23" s="126"/>
      <c r="C23" s="126"/>
      <c r="D23" s="126"/>
    </row>
    <row r="24" spans="1:4" ht="22" customHeight="1" x14ac:dyDescent="0.2">
      <c r="A24" s="171" t="s">
        <v>228</v>
      </c>
      <c r="B24" s="126"/>
      <c r="C24" s="126"/>
      <c r="D24" s="126"/>
    </row>
    <row r="25" spans="1:4" ht="22" customHeight="1" x14ac:dyDescent="0.2">
      <c r="A25" s="168" t="s">
        <v>229</v>
      </c>
      <c r="B25" s="126"/>
      <c r="C25" s="126"/>
      <c r="D25" s="126"/>
    </row>
    <row r="26" spans="1:4" ht="22" customHeight="1" x14ac:dyDescent="0.2">
      <c r="A26" s="171" t="s">
        <v>230</v>
      </c>
      <c r="B26" s="126"/>
      <c r="C26" s="126"/>
      <c r="D26" s="126"/>
    </row>
    <row r="27" spans="1:4" ht="22" customHeight="1" x14ac:dyDescent="0.2">
      <c r="A27" s="168" t="s">
        <v>231</v>
      </c>
      <c r="B27" s="126"/>
      <c r="C27" s="126"/>
      <c r="D27" s="126"/>
    </row>
    <row r="29" spans="1:4" ht="22" customHeight="1" x14ac:dyDescent="0.2">
      <c r="A29" s="135" t="s">
        <v>232</v>
      </c>
      <c r="B29" s="126"/>
      <c r="C29" s="126"/>
      <c r="D29" s="126"/>
    </row>
    <row r="30" spans="1:4" ht="22" customHeight="1" x14ac:dyDescent="0.2">
      <c r="A30" s="170" t="s">
        <v>233</v>
      </c>
      <c r="B30" s="126"/>
      <c r="C30" s="126"/>
      <c r="D30" s="126"/>
    </row>
    <row r="31" spans="1:4" ht="22" customHeight="1" x14ac:dyDescent="0.2">
      <c r="A31" s="168" t="s">
        <v>234</v>
      </c>
      <c r="B31" s="126"/>
      <c r="C31" s="126"/>
      <c r="D31" s="126"/>
    </row>
    <row r="32" spans="1:4" ht="22" customHeight="1" x14ac:dyDescent="0.2">
      <c r="A32" s="170" t="s">
        <v>235</v>
      </c>
      <c r="B32" s="126"/>
      <c r="C32" s="126"/>
      <c r="D32" s="126"/>
    </row>
    <row r="33" spans="1:4" ht="22" customHeight="1" x14ac:dyDescent="0.2">
      <c r="A33" s="168" t="s">
        <v>236</v>
      </c>
      <c r="B33" s="126"/>
      <c r="C33" s="126"/>
      <c r="D33" s="126"/>
    </row>
    <row r="34" spans="1:4" ht="22" customHeight="1" x14ac:dyDescent="0.2">
      <c r="A34" s="170" t="s">
        <v>237</v>
      </c>
      <c r="B34" s="126"/>
      <c r="C34" s="126"/>
      <c r="D34" s="126"/>
    </row>
    <row r="35" spans="1:4" ht="22" customHeight="1" x14ac:dyDescent="0.2">
      <c r="A35" s="168" t="s">
        <v>238</v>
      </c>
      <c r="B35" s="126"/>
      <c r="C35" s="126"/>
      <c r="D35" s="126"/>
    </row>
  </sheetData>
  <mergeCells count="31">
    <mergeCell ref="A32:D32"/>
    <mergeCell ref="A14:D14"/>
    <mergeCell ref="A1:D1"/>
    <mergeCell ref="A6:D6"/>
    <mergeCell ref="A7:D7"/>
    <mergeCell ref="A25:D25"/>
    <mergeCell ref="A16:D16"/>
    <mergeCell ref="A18:D18"/>
    <mergeCell ref="A3:D3"/>
    <mergeCell ref="A21:D21"/>
    <mergeCell ref="A5:D5"/>
    <mergeCell ref="A17:D17"/>
    <mergeCell ref="A23:D23"/>
    <mergeCell ref="A8:D8"/>
    <mergeCell ref="A22:D22"/>
    <mergeCell ref="A35:D35"/>
    <mergeCell ref="A4:D4"/>
    <mergeCell ref="A29:D29"/>
    <mergeCell ref="A19:D19"/>
    <mergeCell ref="A10:D10"/>
    <mergeCell ref="A13:D13"/>
    <mergeCell ref="A9:D9"/>
    <mergeCell ref="A31:D31"/>
    <mergeCell ref="A34:D34"/>
    <mergeCell ref="A30:D30"/>
    <mergeCell ref="A15:D15"/>
    <mergeCell ref="A24:D24"/>
    <mergeCell ref="A11:D11"/>
    <mergeCell ref="A27:D27"/>
    <mergeCell ref="A26:D26"/>
    <mergeCell ref="A33:D3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tabSelected="1" zoomScaleNormal="100" workbookViewId="0">
      <selection activeCell="A10" sqref="A10:XFD10"/>
    </sheetView>
  </sheetViews>
  <sheetFormatPr baseColWidth="10" defaultColWidth="8.83203125" defaultRowHeight="15" x14ac:dyDescent="0.2"/>
  <cols>
    <col min="1" max="1" width="8" customWidth="1"/>
    <col min="2" max="2" width="36" customWidth="1"/>
    <col min="3" max="3" width="46" customWidth="1"/>
    <col min="4" max="4" width="14" customWidth="1"/>
    <col min="5" max="5" width="16" customWidth="1"/>
  </cols>
  <sheetData>
    <row r="1" spans="1:5" ht="32" customHeight="1" x14ac:dyDescent="0.2">
      <c r="A1" s="127" t="s">
        <v>239</v>
      </c>
      <c r="B1" s="126"/>
      <c r="C1" s="126"/>
      <c r="D1" s="126"/>
      <c r="E1" s="126"/>
    </row>
    <row r="2" spans="1:5" ht="18" customHeight="1" x14ac:dyDescent="0.2">
      <c r="A2" s="1" t="s">
        <v>185</v>
      </c>
      <c r="B2" s="1" t="s">
        <v>240</v>
      </c>
      <c r="C2" s="1" t="s">
        <v>241</v>
      </c>
      <c r="D2" s="1" t="s">
        <v>242</v>
      </c>
      <c r="E2" s="1" t="s">
        <v>243</v>
      </c>
    </row>
    <row r="3" spans="1:5" ht="44" customHeight="1" x14ac:dyDescent="0.2">
      <c r="A3" s="7" t="s">
        <v>244</v>
      </c>
      <c r="B3" s="21" t="s">
        <v>245</v>
      </c>
      <c r="C3" s="8" t="s">
        <v>246</v>
      </c>
      <c r="D3" s="16" t="s">
        <v>247</v>
      </c>
      <c r="E3" s="23" t="s">
        <v>248</v>
      </c>
    </row>
    <row r="4" spans="1:5" ht="44" customHeight="1" x14ac:dyDescent="0.2">
      <c r="A4" s="2" t="s">
        <v>249</v>
      </c>
      <c r="B4" s="18" t="s">
        <v>250</v>
      </c>
      <c r="C4" s="3" t="s">
        <v>251</v>
      </c>
      <c r="D4" s="16" t="s">
        <v>247</v>
      </c>
      <c r="E4" s="20" t="s">
        <v>252</v>
      </c>
    </row>
    <row r="5" spans="1:5" ht="44" customHeight="1" x14ac:dyDescent="0.2">
      <c r="A5" s="7" t="s">
        <v>253</v>
      </c>
      <c r="B5" s="21" t="s">
        <v>254</v>
      </c>
      <c r="C5" s="8" t="s">
        <v>255</v>
      </c>
      <c r="D5" s="17" t="s">
        <v>256</v>
      </c>
      <c r="E5" s="23" t="s">
        <v>257</v>
      </c>
    </row>
    <row r="6" spans="1:5" ht="44" customHeight="1" x14ac:dyDescent="0.2">
      <c r="A6" s="2" t="s">
        <v>258</v>
      </c>
      <c r="B6" s="18" t="s">
        <v>259</v>
      </c>
      <c r="C6" s="3" t="s">
        <v>260</v>
      </c>
      <c r="D6" s="28" t="s">
        <v>261</v>
      </c>
      <c r="E6" s="20" t="s">
        <v>257</v>
      </c>
    </row>
    <row r="7" spans="1:5" ht="44" customHeight="1" x14ac:dyDescent="0.2">
      <c r="A7" s="7" t="s">
        <v>262</v>
      </c>
      <c r="B7" s="21" t="s">
        <v>263</v>
      </c>
      <c r="C7" s="8" t="s">
        <v>264</v>
      </c>
      <c r="D7" s="17" t="s">
        <v>256</v>
      </c>
      <c r="E7" s="23" t="s">
        <v>265</v>
      </c>
    </row>
    <row r="8" spans="1:5" ht="44" customHeight="1" x14ac:dyDescent="0.2">
      <c r="A8" s="2" t="s">
        <v>266</v>
      </c>
      <c r="B8" s="18" t="s">
        <v>267</v>
      </c>
      <c r="C8" s="3" t="s">
        <v>268</v>
      </c>
      <c r="D8" s="16" t="s">
        <v>247</v>
      </c>
      <c r="E8" s="20" t="s">
        <v>265</v>
      </c>
    </row>
    <row r="9" spans="1:5" ht="44" customHeight="1" x14ac:dyDescent="0.2">
      <c r="A9" s="7" t="s">
        <v>269</v>
      </c>
      <c r="B9" s="21" t="s">
        <v>270</v>
      </c>
      <c r="C9" s="8" t="s">
        <v>271</v>
      </c>
      <c r="D9" s="16" t="s">
        <v>247</v>
      </c>
      <c r="E9" s="23" t="s">
        <v>272</v>
      </c>
    </row>
    <row r="10" spans="1:5" ht="44" customHeight="1" x14ac:dyDescent="0.2">
      <c r="A10" s="7" t="s">
        <v>273</v>
      </c>
      <c r="B10" s="21" t="s">
        <v>274</v>
      </c>
      <c r="C10" s="8" t="s">
        <v>275</v>
      </c>
      <c r="D10" s="17" t="s">
        <v>256</v>
      </c>
      <c r="E10" s="23" t="s">
        <v>276</v>
      </c>
    </row>
    <row r="11" spans="1:5" ht="44" customHeight="1" x14ac:dyDescent="0.2">
      <c r="A11" s="2" t="s">
        <v>277</v>
      </c>
      <c r="B11" s="18" t="s">
        <v>278</v>
      </c>
      <c r="C11" s="3" t="s">
        <v>279</v>
      </c>
      <c r="D11" s="29" t="s">
        <v>280</v>
      </c>
      <c r="E11" s="20" t="s">
        <v>281</v>
      </c>
    </row>
    <row r="12" spans="1:5" ht="199" x14ac:dyDescent="0.2">
      <c r="A12" s="46" t="s">
        <v>403</v>
      </c>
      <c r="B12" s="45" t="s">
        <v>671</v>
      </c>
      <c r="C12" s="44" t="s">
        <v>672</v>
      </c>
      <c r="D12" s="43" t="s">
        <v>256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"/>
  <sheetViews>
    <sheetView workbookViewId="0">
      <selection sqref="A1:D1"/>
    </sheetView>
  </sheetViews>
  <sheetFormatPr baseColWidth="10" defaultColWidth="8.83203125" defaultRowHeight="15" x14ac:dyDescent="0.2"/>
  <cols>
    <col min="1" max="1" width="24" customWidth="1"/>
    <col min="2" max="2" width="28" customWidth="1"/>
    <col min="3" max="3" width="60" customWidth="1"/>
    <col min="4" max="4" width="14" customWidth="1"/>
  </cols>
  <sheetData>
    <row r="1" spans="1:4" ht="32" customHeight="1" x14ac:dyDescent="0.2">
      <c r="A1" s="127" t="s">
        <v>282</v>
      </c>
      <c r="B1" s="126"/>
      <c r="C1" s="126"/>
      <c r="D1" s="126"/>
    </row>
    <row r="2" spans="1:4" ht="18" customHeight="1" x14ac:dyDescent="0.2">
      <c r="A2" s="1" t="s">
        <v>153</v>
      </c>
      <c r="B2" s="1" t="s">
        <v>283</v>
      </c>
      <c r="C2" s="1" t="s">
        <v>284</v>
      </c>
      <c r="D2" s="1" t="s">
        <v>285</v>
      </c>
    </row>
    <row r="3" spans="1:4" ht="22" customHeight="1" x14ac:dyDescent="0.2">
      <c r="A3" s="173" t="s">
        <v>158</v>
      </c>
      <c r="B3" s="126"/>
      <c r="C3" s="126"/>
      <c r="D3" s="126"/>
    </row>
    <row r="4" spans="1:4" ht="48" customHeight="1" x14ac:dyDescent="0.2">
      <c r="A4" s="3"/>
      <c r="B4" s="18" t="s">
        <v>286</v>
      </c>
      <c r="C4" s="3" t="s">
        <v>287</v>
      </c>
      <c r="D4" s="30" t="s">
        <v>18</v>
      </c>
    </row>
    <row r="5" spans="1:4" ht="48" customHeight="1" x14ac:dyDescent="0.2">
      <c r="A5" s="8"/>
      <c r="B5" s="21" t="s">
        <v>288</v>
      </c>
      <c r="C5" s="8" t="s">
        <v>289</v>
      </c>
      <c r="D5" s="31" t="s">
        <v>18</v>
      </c>
    </row>
    <row r="6" spans="1:4" ht="48" customHeight="1" x14ac:dyDescent="0.2">
      <c r="A6" s="3"/>
      <c r="B6" s="18" t="s">
        <v>290</v>
      </c>
      <c r="C6" s="3" t="s">
        <v>291</v>
      </c>
      <c r="D6" s="30" t="s">
        <v>33</v>
      </c>
    </row>
    <row r="7" spans="1:4" ht="22" customHeight="1" x14ac:dyDescent="0.2">
      <c r="A7" s="174" t="s">
        <v>159</v>
      </c>
      <c r="B7" s="126"/>
      <c r="C7" s="126"/>
      <c r="D7" s="126"/>
    </row>
    <row r="8" spans="1:4" ht="48" customHeight="1" x14ac:dyDescent="0.2">
      <c r="A8" s="3"/>
      <c r="B8" s="18" t="s">
        <v>292</v>
      </c>
      <c r="C8" s="3" t="s">
        <v>293</v>
      </c>
      <c r="D8" s="32" t="s">
        <v>13</v>
      </c>
    </row>
    <row r="9" spans="1:4" ht="48" customHeight="1" x14ac:dyDescent="0.2">
      <c r="A9" s="8"/>
      <c r="B9" s="21" t="s">
        <v>294</v>
      </c>
      <c r="C9" s="8" t="s">
        <v>295</v>
      </c>
      <c r="D9" s="33" t="s">
        <v>13</v>
      </c>
    </row>
    <row r="10" spans="1:4" ht="48" customHeight="1" x14ac:dyDescent="0.2">
      <c r="A10" s="3"/>
      <c r="B10" s="18" t="s">
        <v>296</v>
      </c>
      <c r="C10" s="3" t="s">
        <v>297</v>
      </c>
      <c r="D10" s="32" t="s">
        <v>13</v>
      </c>
    </row>
    <row r="11" spans="1:4" ht="22" customHeight="1" x14ac:dyDescent="0.2">
      <c r="A11" s="176" t="s">
        <v>298</v>
      </c>
      <c r="B11" s="126"/>
      <c r="C11" s="126"/>
      <c r="D11" s="126"/>
    </row>
    <row r="12" spans="1:4" ht="48" customHeight="1" x14ac:dyDescent="0.2">
      <c r="A12" s="3"/>
      <c r="B12" s="18" t="s">
        <v>299</v>
      </c>
      <c r="C12" s="3" t="s">
        <v>300</v>
      </c>
      <c r="D12" s="34" t="s">
        <v>33</v>
      </c>
    </row>
    <row r="13" spans="1:4" ht="48" customHeight="1" x14ac:dyDescent="0.2">
      <c r="A13" s="8"/>
      <c r="B13" s="21" t="s">
        <v>301</v>
      </c>
      <c r="C13" s="8" t="s">
        <v>302</v>
      </c>
      <c r="D13" s="35" t="s">
        <v>26</v>
      </c>
    </row>
    <row r="14" spans="1:4" ht="48" customHeight="1" x14ac:dyDescent="0.2">
      <c r="A14" s="3"/>
      <c r="B14" s="18" t="s">
        <v>303</v>
      </c>
      <c r="C14" s="3" t="s">
        <v>304</v>
      </c>
      <c r="D14" s="34" t="s">
        <v>26</v>
      </c>
    </row>
    <row r="15" spans="1:4" ht="48" customHeight="1" x14ac:dyDescent="0.2">
      <c r="A15" s="8"/>
      <c r="B15" s="21" t="s">
        <v>305</v>
      </c>
      <c r="C15" s="8" t="s">
        <v>306</v>
      </c>
      <c r="D15" s="35" t="s">
        <v>33</v>
      </c>
    </row>
    <row r="16" spans="1:4" ht="22" customHeight="1" x14ac:dyDescent="0.2">
      <c r="A16" s="175" t="s">
        <v>161</v>
      </c>
      <c r="B16" s="126"/>
      <c r="C16" s="126"/>
      <c r="D16" s="126"/>
    </row>
    <row r="17" spans="1:4" ht="48" customHeight="1" x14ac:dyDescent="0.2">
      <c r="A17" s="3"/>
      <c r="B17" s="18" t="s">
        <v>307</v>
      </c>
      <c r="C17" s="3" t="s">
        <v>308</v>
      </c>
      <c r="D17" s="36" t="s">
        <v>26</v>
      </c>
    </row>
    <row r="18" spans="1:4" ht="48" customHeight="1" x14ac:dyDescent="0.2">
      <c r="A18" s="8"/>
      <c r="B18" s="21" t="s">
        <v>309</v>
      </c>
      <c r="C18" s="8" t="s">
        <v>310</v>
      </c>
      <c r="D18" s="37" t="s">
        <v>26</v>
      </c>
    </row>
    <row r="19" spans="1:4" ht="48" customHeight="1" x14ac:dyDescent="0.2">
      <c r="A19" s="3"/>
      <c r="B19" s="18" t="s">
        <v>311</v>
      </c>
      <c r="C19" s="3" t="s">
        <v>312</v>
      </c>
      <c r="D19" s="36" t="s">
        <v>13</v>
      </c>
    </row>
    <row r="20" spans="1:4" ht="48" customHeight="1" x14ac:dyDescent="0.2">
      <c r="A20" s="8"/>
      <c r="B20" s="21" t="s">
        <v>313</v>
      </c>
      <c r="C20" s="8" t="s">
        <v>314</v>
      </c>
      <c r="D20" s="37" t="s">
        <v>18</v>
      </c>
    </row>
  </sheetData>
  <mergeCells count="5">
    <mergeCell ref="A1:D1"/>
    <mergeCell ref="A3:D3"/>
    <mergeCell ref="A7:D7"/>
    <mergeCell ref="A16:D16"/>
    <mergeCell ref="A11:D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8"/>
  <sheetViews>
    <sheetView topLeftCell="A3" zoomScaleNormal="100" workbookViewId="0">
      <selection activeCell="H16" sqref="H16"/>
    </sheetView>
  </sheetViews>
  <sheetFormatPr baseColWidth="10" defaultColWidth="8.83203125" defaultRowHeight="15" x14ac:dyDescent="0.2"/>
  <cols>
    <col min="1" max="1" width="29.5" bestFit="1" customWidth="1"/>
    <col min="2" max="2" width="19.83203125" bestFit="1" customWidth="1"/>
    <col min="3" max="3" width="17.1640625" bestFit="1" customWidth="1"/>
    <col min="4" max="4" width="9.5" bestFit="1" customWidth="1"/>
    <col min="5" max="5" width="37" bestFit="1" customWidth="1"/>
    <col min="6" max="6" width="37.1640625" bestFit="1" customWidth="1"/>
    <col min="7" max="7" width="69.83203125" bestFit="1" customWidth="1"/>
    <col min="8" max="8" width="45.5" bestFit="1" customWidth="1"/>
    <col min="9" max="9" width="37" bestFit="1" customWidth="1"/>
  </cols>
  <sheetData>
    <row r="1" spans="1:10" ht="32" customHeight="1" x14ac:dyDescent="0.35">
      <c r="A1" s="123" t="s">
        <v>552</v>
      </c>
      <c r="B1" s="124"/>
      <c r="C1" s="124"/>
      <c r="D1" s="124"/>
      <c r="E1" s="124"/>
      <c r="F1" s="124"/>
      <c r="G1" s="124"/>
      <c r="H1" s="124"/>
      <c r="I1" s="124"/>
      <c r="J1" s="101"/>
    </row>
    <row r="2" spans="1:10" ht="16" x14ac:dyDescent="0.2">
      <c r="A2" s="106" t="s">
        <v>315</v>
      </c>
      <c r="B2" s="107" t="s">
        <v>316</v>
      </c>
      <c r="C2" s="107" t="s">
        <v>317</v>
      </c>
      <c r="D2" s="107" t="s">
        <v>5</v>
      </c>
      <c r="E2" s="107" t="s">
        <v>318</v>
      </c>
      <c r="F2" s="107" t="s">
        <v>319</v>
      </c>
      <c r="G2" s="107" t="s">
        <v>320</v>
      </c>
      <c r="H2" s="107" t="s">
        <v>553</v>
      </c>
      <c r="I2" s="108" t="s">
        <v>167</v>
      </c>
    </row>
    <row r="3" spans="1:10" ht="32" x14ac:dyDescent="0.2">
      <c r="A3" s="109" t="s">
        <v>554</v>
      </c>
      <c r="B3" s="110" t="s">
        <v>555</v>
      </c>
      <c r="C3" s="110" t="s">
        <v>18</v>
      </c>
      <c r="D3" s="110" t="s">
        <v>321</v>
      </c>
      <c r="E3" s="110" t="s">
        <v>556</v>
      </c>
      <c r="F3" s="110" t="s">
        <v>557</v>
      </c>
      <c r="G3" s="110" t="s">
        <v>558</v>
      </c>
      <c r="H3" s="111" t="s">
        <v>559</v>
      </c>
      <c r="I3" s="112" t="s">
        <v>560</v>
      </c>
    </row>
    <row r="4" spans="1:10" ht="32" x14ac:dyDescent="0.2">
      <c r="A4" s="109" t="s">
        <v>322</v>
      </c>
      <c r="B4" s="110" t="s">
        <v>323</v>
      </c>
      <c r="C4" s="110" t="s">
        <v>18</v>
      </c>
      <c r="D4" s="110" t="s">
        <v>321</v>
      </c>
      <c r="E4" s="110" t="s">
        <v>561</v>
      </c>
      <c r="F4" s="110" t="s">
        <v>324</v>
      </c>
      <c r="G4" s="113" t="s">
        <v>562</v>
      </c>
      <c r="H4" s="122" t="s">
        <v>668</v>
      </c>
      <c r="I4" s="112" t="s">
        <v>563</v>
      </c>
    </row>
    <row r="5" spans="1:10" ht="96" x14ac:dyDescent="0.2">
      <c r="A5" s="109" t="s">
        <v>325</v>
      </c>
      <c r="B5" s="110" t="s">
        <v>564</v>
      </c>
      <c r="C5" s="110" t="s">
        <v>326</v>
      </c>
      <c r="D5" s="110" t="s">
        <v>321</v>
      </c>
      <c r="E5" s="110" t="s">
        <v>565</v>
      </c>
      <c r="F5" s="110" t="s">
        <v>566</v>
      </c>
      <c r="G5" s="110" t="s">
        <v>567</v>
      </c>
      <c r="H5" s="122" t="s">
        <v>667</v>
      </c>
      <c r="I5" s="114"/>
    </row>
    <row r="6" spans="1:10" ht="32" x14ac:dyDescent="0.2">
      <c r="A6" s="109" t="s">
        <v>327</v>
      </c>
      <c r="B6" s="110" t="s">
        <v>328</v>
      </c>
      <c r="C6" s="110" t="s">
        <v>18</v>
      </c>
      <c r="D6" s="110" t="s">
        <v>329</v>
      </c>
      <c r="E6" s="110" t="s">
        <v>568</v>
      </c>
      <c r="F6" s="110" t="s">
        <v>330</v>
      </c>
      <c r="G6" s="113" t="s">
        <v>569</v>
      </c>
      <c r="H6" s="110"/>
      <c r="I6" s="114" t="s">
        <v>570</v>
      </c>
    </row>
    <row r="7" spans="1:10" ht="32" x14ac:dyDescent="0.2">
      <c r="A7" s="109" t="s">
        <v>331</v>
      </c>
      <c r="B7" s="110" t="s">
        <v>332</v>
      </c>
      <c r="C7" s="110" t="s">
        <v>18</v>
      </c>
      <c r="D7" s="110" t="s">
        <v>329</v>
      </c>
      <c r="E7" s="113" t="s">
        <v>571</v>
      </c>
      <c r="F7" s="110" t="s">
        <v>330</v>
      </c>
      <c r="G7" s="110" t="s">
        <v>333</v>
      </c>
      <c r="H7" s="110"/>
      <c r="I7" s="114"/>
    </row>
    <row r="8" spans="1:10" ht="32" x14ac:dyDescent="0.2">
      <c r="A8" s="109" t="s">
        <v>334</v>
      </c>
      <c r="B8" s="110" t="s">
        <v>335</v>
      </c>
      <c r="C8" s="110" t="s">
        <v>18</v>
      </c>
      <c r="D8" s="110" t="s">
        <v>336</v>
      </c>
      <c r="E8" s="110" t="s">
        <v>337</v>
      </c>
      <c r="F8" s="110" t="s">
        <v>338</v>
      </c>
      <c r="G8" s="113" t="s">
        <v>572</v>
      </c>
      <c r="H8" s="122" t="s">
        <v>668</v>
      </c>
      <c r="I8" s="114" t="s">
        <v>573</v>
      </c>
    </row>
    <row r="9" spans="1:10" ht="32" x14ac:dyDescent="0.2">
      <c r="A9" s="115" t="s">
        <v>339</v>
      </c>
      <c r="B9" s="116" t="s">
        <v>340</v>
      </c>
      <c r="C9" s="116" t="s">
        <v>18</v>
      </c>
      <c r="D9" s="116" t="s">
        <v>336</v>
      </c>
      <c r="E9" s="117" t="s">
        <v>574</v>
      </c>
      <c r="F9" s="116" t="s">
        <v>341</v>
      </c>
      <c r="G9" s="117" t="s">
        <v>575</v>
      </c>
      <c r="H9" s="116"/>
      <c r="I9" s="118"/>
    </row>
    <row r="10" spans="1:10" ht="32" x14ac:dyDescent="0.2">
      <c r="A10" s="109" t="s">
        <v>325</v>
      </c>
      <c r="B10" s="110" t="s">
        <v>576</v>
      </c>
      <c r="C10" s="113" t="s">
        <v>577</v>
      </c>
      <c r="D10" s="110" t="s">
        <v>578</v>
      </c>
      <c r="E10" s="110" t="s">
        <v>579</v>
      </c>
      <c r="F10" s="110" t="s">
        <v>580</v>
      </c>
      <c r="G10" s="110" t="s">
        <v>581</v>
      </c>
      <c r="H10" s="110"/>
      <c r="I10" s="114" t="s">
        <v>582</v>
      </c>
    </row>
    <row r="11" spans="1:10" x14ac:dyDescent="0.2">
      <c r="A11" s="109" t="s">
        <v>583</v>
      </c>
      <c r="B11" s="110" t="s">
        <v>584</v>
      </c>
      <c r="C11" s="110" t="s">
        <v>411</v>
      </c>
      <c r="D11" s="110" t="s">
        <v>578</v>
      </c>
      <c r="E11" s="110" t="s">
        <v>585</v>
      </c>
      <c r="F11" s="110" t="s">
        <v>580</v>
      </c>
      <c r="G11" s="110" t="s">
        <v>586</v>
      </c>
      <c r="H11" s="110"/>
      <c r="I11" s="114" t="s">
        <v>587</v>
      </c>
    </row>
    <row r="12" spans="1:10" x14ac:dyDescent="0.2">
      <c r="A12" s="109" t="s">
        <v>588</v>
      </c>
      <c r="B12" s="110" t="s">
        <v>589</v>
      </c>
      <c r="C12" s="110" t="s">
        <v>411</v>
      </c>
      <c r="D12" s="110" t="s">
        <v>590</v>
      </c>
      <c r="E12" s="110" t="s">
        <v>591</v>
      </c>
      <c r="F12" s="110" t="s">
        <v>592</v>
      </c>
      <c r="G12" s="110" t="s">
        <v>593</v>
      </c>
      <c r="H12" s="110"/>
      <c r="I12" s="114" t="s">
        <v>594</v>
      </c>
    </row>
    <row r="13" spans="1:10" ht="32" x14ac:dyDescent="0.2">
      <c r="A13" s="109" t="s">
        <v>595</v>
      </c>
      <c r="B13" s="113" t="s">
        <v>596</v>
      </c>
      <c r="C13" s="110" t="s">
        <v>411</v>
      </c>
      <c r="D13" s="110" t="s">
        <v>321</v>
      </c>
      <c r="E13" s="110" t="s">
        <v>597</v>
      </c>
      <c r="F13" s="110" t="s">
        <v>598</v>
      </c>
      <c r="G13" s="110" t="s">
        <v>599</v>
      </c>
      <c r="H13" s="110"/>
      <c r="I13" s="114" t="s">
        <v>600</v>
      </c>
    </row>
    <row r="14" spans="1:10" ht="96" x14ac:dyDescent="0.2">
      <c r="A14" s="109" t="s">
        <v>601</v>
      </c>
      <c r="B14" s="110" t="s">
        <v>602</v>
      </c>
      <c r="C14" s="113" t="s">
        <v>603</v>
      </c>
      <c r="D14" s="110" t="s">
        <v>329</v>
      </c>
      <c r="E14" s="110" t="s">
        <v>604</v>
      </c>
      <c r="F14" s="110" t="s">
        <v>605</v>
      </c>
      <c r="G14" s="110" t="s">
        <v>606</v>
      </c>
      <c r="H14" s="122" t="s">
        <v>667</v>
      </c>
      <c r="I14" s="112" t="s">
        <v>607</v>
      </c>
    </row>
    <row r="15" spans="1:10" ht="32" x14ac:dyDescent="0.2">
      <c r="A15" s="109" t="s">
        <v>608</v>
      </c>
      <c r="B15" s="113" t="s">
        <v>609</v>
      </c>
      <c r="C15" s="113" t="s">
        <v>411</v>
      </c>
      <c r="D15" s="110" t="s">
        <v>329</v>
      </c>
      <c r="E15" s="110" t="s">
        <v>610</v>
      </c>
      <c r="F15" s="110" t="s">
        <v>611</v>
      </c>
      <c r="G15" s="110" t="s">
        <v>612</v>
      </c>
      <c r="H15" s="110"/>
      <c r="I15" s="112" t="s">
        <v>613</v>
      </c>
    </row>
    <row r="16" spans="1:10" ht="16" x14ac:dyDescent="0.2">
      <c r="A16" s="109" t="s">
        <v>614</v>
      </c>
      <c r="B16" s="110" t="s">
        <v>615</v>
      </c>
      <c r="C16" s="113" t="s">
        <v>616</v>
      </c>
      <c r="D16" s="110" t="s">
        <v>321</v>
      </c>
      <c r="E16" s="110" t="s">
        <v>513</v>
      </c>
      <c r="F16" s="110" t="s">
        <v>611</v>
      </c>
      <c r="G16" s="110" t="s">
        <v>617</v>
      </c>
      <c r="H16" s="110" t="s">
        <v>670</v>
      </c>
      <c r="I16" s="114" t="s">
        <v>618</v>
      </c>
    </row>
    <row r="17" spans="1:9" x14ac:dyDescent="0.2">
      <c r="A17" s="109" t="s">
        <v>619</v>
      </c>
      <c r="B17" s="110" t="s">
        <v>620</v>
      </c>
      <c r="C17" s="110" t="s">
        <v>621</v>
      </c>
      <c r="D17" s="110" t="s">
        <v>321</v>
      </c>
      <c r="E17" s="110" t="s">
        <v>513</v>
      </c>
      <c r="F17" s="110" t="s">
        <v>622</v>
      </c>
      <c r="G17" s="110" t="s">
        <v>623</v>
      </c>
      <c r="H17" s="110" t="s">
        <v>670</v>
      </c>
      <c r="I17" s="114" t="s">
        <v>624</v>
      </c>
    </row>
    <row r="18" spans="1:9" x14ac:dyDescent="0.2">
      <c r="A18" s="115" t="s">
        <v>625</v>
      </c>
      <c r="B18" s="116" t="s">
        <v>626</v>
      </c>
      <c r="C18" s="116" t="s">
        <v>411</v>
      </c>
      <c r="D18" s="116" t="s">
        <v>321</v>
      </c>
      <c r="E18" s="116" t="s">
        <v>627</v>
      </c>
      <c r="F18" s="116" t="s">
        <v>628</v>
      </c>
      <c r="G18" s="116" t="s">
        <v>629</v>
      </c>
      <c r="H18" s="116" t="s">
        <v>669</v>
      </c>
      <c r="I18" s="118" t="s">
        <v>630</v>
      </c>
    </row>
  </sheetData>
  <mergeCells count="1">
    <mergeCell ref="A1:I1"/>
  </mergeCells>
  <hyperlinks>
    <hyperlink ref="H3" r:id="rId1" xr:uid="{66DD942F-C9E1-714D-8792-E4751E254F44}"/>
    <hyperlink ref="H8" r:id="rId2" xr:uid="{D5A6A69D-09F9-2746-8D48-69711EA88242}"/>
    <hyperlink ref="H5" r:id="rId3" xr:uid="{9BA0F2BD-A694-A14F-A3ED-20CE6F0131BB}"/>
    <hyperlink ref="H4" r:id="rId4" xr:uid="{6561E40F-B102-EC46-9EA1-3FBB4A1FD9F2}"/>
    <hyperlink ref="H14" r:id="rId5" xr:uid="{4D37BD2C-2CD0-2547-9D4F-D743CBA3233C}"/>
  </hyperlinks>
  <pageMargins left="0.75" right="0.75" top="1" bottom="1" header="0.5" footer="0.5"/>
  <tableParts count="1">
    <tablePart r:id="rId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"/>
  <sheetViews>
    <sheetView topLeftCell="A5" workbookViewId="0">
      <selection sqref="A1:F1"/>
    </sheetView>
  </sheetViews>
  <sheetFormatPr baseColWidth="10" defaultColWidth="8.83203125" defaultRowHeight="15" x14ac:dyDescent="0.2"/>
  <cols>
    <col min="1" max="1" width="20" bestFit="1" customWidth="1"/>
    <col min="2" max="2" width="90" bestFit="1" customWidth="1"/>
    <col min="3" max="3" width="21" bestFit="1" customWidth="1"/>
    <col min="4" max="4" width="109" bestFit="1" customWidth="1"/>
    <col min="5" max="5" width="20.83203125" bestFit="1" customWidth="1"/>
    <col min="6" max="6" width="14.6640625" customWidth="1"/>
  </cols>
  <sheetData>
    <row r="1" spans="1:6" ht="32" customHeight="1" x14ac:dyDescent="0.2">
      <c r="A1" s="127" t="s">
        <v>342</v>
      </c>
      <c r="B1" s="126"/>
      <c r="C1" s="126"/>
      <c r="D1" s="126"/>
      <c r="E1" s="126"/>
      <c r="F1" s="126"/>
    </row>
    <row r="2" spans="1:6" ht="18" customHeight="1" x14ac:dyDescent="0.25">
      <c r="A2" s="119" t="s">
        <v>343</v>
      </c>
      <c r="B2" s="119" t="s">
        <v>344</v>
      </c>
      <c r="C2" s="119" t="s">
        <v>345</v>
      </c>
      <c r="D2" s="119" t="s">
        <v>346</v>
      </c>
      <c r="E2" s="119" t="s">
        <v>105</v>
      </c>
      <c r="F2" s="119" t="s">
        <v>107</v>
      </c>
    </row>
    <row r="3" spans="1:6" ht="100" x14ac:dyDescent="0.2">
      <c r="A3" s="120" t="s">
        <v>347</v>
      </c>
      <c r="B3" s="120" t="s">
        <v>631</v>
      </c>
      <c r="C3" s="120" t="s">
        <v>348</v>
      </c>
      <c r="D3" s="120" t="s">
        <v>632</v>
      </c>
      <c r="E3" s="120" t="s">
        <v>633</v>
      </c>
      <c r="F3" s="120" t="s">
        <v>634</v>
      </c>
    </row>
    <row r="4" spans="1:6" ht="60" x14ac:dyDescent="0.2">
      <c r="A4" s="121" t="s">
        <v>347</v>
      </c>
      <c r="B4" s="121" t="s">
        <v>635</v>
      </c>
      <c r="C4" s="121" t="s">
        <v>349</v>
      </c>
      <c r="D4" s="121" t="s">
        <v>636</v>
      </c>
      <c r="E4" s="121" t="s">
        <v>637</v>
      </c>
      <c r="F4" s="121" t="s">
        <v>634</v>
      </c>
    </row>
    <row r="5" spans="1:6" ht="60" x14ac:dyDescent="0.2">
      <c r="A5" s="121" t="s">
        <v>350</v>
      </c>
      <c r="B5" s="121" t="s">
        <v>638</v>
      </c>
      <c r="C5" s="121" t="s">
        <v>351</v>
      </c>
      <c r="D5" s="121" t="s">
        <v>639</v>
      </c>
      <c r="E5" s="121" t="s">
        <v>637</v>
      </c>
      <c r="F5" s="121" t="s">
        <v>256</v>
      </c>
    </row>
    <row r="6" spans="1:6" ht="60" x14ac:dyDescent="0.2">
      <c r="A6" s="121" t="s">
        <v>350</v>
      </c>
      <c r="B6" s="121" t="s">
        <v>640</v>
      </c>
      <c r="C6" s="121" t="s">
        <v>351</v>
      </c>
      <c r="D6" s="121" t="s">
        <v>352</v>
      </c>
      <c r="E6" s="121" t="s">
        <v>353</v>
      </c>
      <c r="F6" s="121" t="s">
        <v>256</v>
      </c>
    </row>
    <row r="7" spans="1:6" ht="40" x14ac:dyDescent="0.2">
      <c r="A7" s="121" t="s">
        <v>354</v>
      </c>
      <c r="B7" s="121" t="s">
        <v>641</v>
      </c>
      <c r="C7" s="121" t="s">
        <v>348</v>
      </c>
      <c r="D7" s="121" t="s">
        <v>642</v>
      </c>
      <c r="E7" s="121" t="s">
        <v>355</v>
      </c>
      <c r="F7" s="121" t="s">
        <v>643</v>
      </c>
    </row>
    <row r="8" spans="1:6" ht="40" x14ac:dyDescent="0.2">
      <c r="A8" s="121" t="s">
        <v>354</v>
      </c>
      <c r="B8" s="121" t="s">
        <v>644</v>
      </c>
      <c r="C8" s="121" t="s">
        <v>349</v>
      </c>
      <c r="D8" s="121" t="s">
        <v>356</v>
      </c>
      <c r="E8" s="121" t="s">
        <v>357</v>
      </c>
      <c r="F8" s="121" t="s">
        <v>256</v>
      </c>
    </row>
    <row r="9" spans="1:6" ht="40" x14ac:dyDescent="0.2">
      <c r="A9" s="121" t="s">
        <v>358</v>
      </c>
      <c r="B9" s="121" t="s">
        <v>645</v>
      </c>
      <c r="C9" s="121" t="s">
        <v>348</v>
      </c>
      <c r="D9" s="121" t="s">
        <v>646</v>
      </c>
      <c r="E9" s="121" t="s">
        <v>355</v>
      </c>
      <c r="F9" s="121" t="s">
        <v>261</v>
      </c>
    </row>
    <row r="10" spans="1:6" ht="40" x14ac:dyDescent="0.2">
      <c r="A10" s="121" t="s">
        <v>354</v>
      </c>
      <c r="B10" s="121" t="s">
        <v>647</v>
      </c>
      <c r="C10" s="121" t="s">
        <v>348</v>
      </c>
      <c r="D10" s="121" t="s">
        <v>648</v>
      </c>
      <c r="E10" s="121" t="s">
        <v>637</v>
      </c>
      <c r="F10" s="121" t="s">
        <v>256</v>
      </c>
    </row>
    <row r="11" spans="1:6" ht="60" x14ac:dyDescent="0.2">
      <c r="A11" s="121" t="s">
        <v>354</v>
      </c>
      <c r="B11" s="121" t="s">
        <v>649</v>
      </c>
      <c r="C11" s="121" t="s">
        <v>349</v>
      </c>
      <c r="D11" s="121" t="s">
        <v>650</v>
      </c>
      <c r="E11" s="121" t="s">
        <v>651</v>
      </c>
      <c r="F11" s="121" t="s">
        <v>256</v>
      </c>
    </row>
    <row r="12" spans="1:6" ht="40" x14ac:dyDescent="0.2">
      <c r="A12" s="121" t="s">
        <v>652</v>
      </c>
      <c r="B12" s="121" t="s">
        <v>653</v>
      </c>
      <c r="C12" s="121" t="s">
        <v>348</v>
      </c>
      <c r="D12" s="121" t="s">
        <v>654</v>
      </c>
      <c r="E12" s="121" t="s">
        <v>633</v>
      </c>
      <c r="F12" s="121" t="s">
        <v>261</v>
      </c>
    </row>
    <row r="13" spans="1:6" ht="40" x14ac:dyDescent="0.2">
      <c r="A13" s="121" t="s">
        <v>354</v>
      </c>
      <c r="B13" s="121" t="s">
        <v>655</v>
      </c>
      <c r="C13" s="121" t="s">
        <v>348</v>
      </c>
      <c r="D13" s="121" t="s">
        <v>656</v>
      </c>
      <c r="E13" s="121" t="s">
        <v>637</v>
      </c>
      <c r="F13" s="121" t="s">
        <v>256</v>
      </c>
    </row>
    <row r="14" spans="1:6" ht="40" x14ac:dyDescent="0.2">
      <c r="A14" s="121" t="s">
        <v>354</v>
      </c>
      <c r="B14" s="121" t="s">
        <v>657</v>
      </c>
      <c r="C14" s="121" t="s">
        <v>349</v>
      </c>
      <c r="D14" s="121" t="s">
        <v>658</v>
      </c>
      <c r="E14" s="121" t="s">
        <v>659</v>
      </c>
      <c r="F14" s="121" t="s">
        <v>256</v>
      </c>
    </row>
    <row r="15" spans="1:6" ht="40" x14ac:dyDescent="0.2">
      <c r="A15" s="121" t="s">
        <v>400</v>
      </c>
      <c r="B15" s="121" t="s">
        <v>660</v>
      </c>
      <c r="C15" s="121" t="s">
        <v>348</v>
      </c>
      <c r="D15" s="121" t="s">
        <v>661</v>
      </c>
      <c r="E15" s="121" t="s">
        <v>662</v>
      </c>
      <c r="F15" s="121" t="s">
        <v>256</v>
      </c>
    </row>
    <row r="16" spans="1:6" ht="40" x14ac:dyDescent="0.2">
      <c r="A16" s="121" t="s">
        <v>663</v>
      </c>
      <c r="B16" s="121" t="s">
        <v>664</v>
      </c>
      <c r="C16" s="121" t="s">
        <v>349</v>
      </c>
      <c r="D16" s="121" t="s">
        <v>665</v>
      </c>
      <c r="E16" s="121" t="s">
        <v>666</v>
      </c>
      <c r="F16" s="121" t="s">
        <v>261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 Backlog</vt:lpstr>
      <vt:lpstr>RACI CHART</vt:lpstr>
      <vt:lpstr>Sprint Backlog</vt:lpstr>
      <vt:lpstr>Sprint Plan</vt:lpstr>
      <vt:lpstr>Project Plan</vt:lpstr>
      <vt:lpstr>Cost Estimation</vt:lpstr>
      <vt:lpstr>Sprint Retrospective</vt:lpstr>
      <vt:lpstr>ROAM Analysis</vt:lpstr>
      <vt:lpstr>Research &amp; Design Plan</vt:lpstr>
      <vt:lpstr>Communication Plan</vt:lpstr>
      <vt:lpstr>Risk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Kiran Nyaupane</cp:lastModifiedBy>
  <dcterms:created xsi:type="dcterms:W3CDTF">2026-04-15T14:08:44Z</dcterms:created>
  <dcterms:modified xsi:type="dcterms:W3CDTF">2026-04-17T02:41:19Z</dcterms:modified>
</cp:coreProperties>
</file>